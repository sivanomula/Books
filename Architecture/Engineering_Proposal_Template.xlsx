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ch\"/>
    </mc:Choice>
  </mc:AlternateContent>
  <xr:revisionPtr revIDLastSave="0" documentId="13_ncr:1_{D076C77E-1E31-4FD0-A6DE-4A81D32E9A74}" xr6:coauthVersionLast="45" xr6:coauthVersionMax="45" xr10:uidLastSave="{00000000-0000-0000-0000-000000000000}"/>
  <bookViews>
    <workbookView xWindow="-120" yWindow="-120" windowWidth="29040" windowHeight="15525" activeTab="4" xr2:uid="{F0EE3F7A-30F0-4525-AD7A-2C830760FD51}"/>
  </bookViews>
  <sheets>
    <sheet name="Estimations - Summary" sheetId="1" r:id="rId1"/>
    <sheet name="Estimations - Detailed" sheetId="2" r:id="rId2"/>
    <sheet name="T-Shirt Sizing" sheetId="3" r:id="rId3"/>
    <sheet name="TeamSummary" sheetId="10" r:id="rId4"/>
    <sheet name="Project Planner" sheetId="5" r:id="rId5"/>
    <sheet name="Team Planner" sheetId="11" r:id="rId6"/>
  </sheets>
  <definedNames>
    <definedName name="Actual" localSheetId="5">('Team Planner'!PeriodInActual*('Team Planner'!$E1&gt;0))*'Team Planner'!PeriodInPlan</definedName>
    <definedName name="Actual">(PeriodInActual*('Project Planner'!$E1&gt;0))*PeriodInPlan</definedName>
    <definedName name="ActualBeyond" localSheetId="5">'Team Planner'!PeriodInActual*('Team Planner'!$E1&gt;0)</definedName>
    <definedName name="ActualBeyond">PeriodInActual*('Project Planner'!$E1&gt;0)</definedName>
    <definedName name="PercentComplete" localSheetId="5">'Team Planner'!PercentCompleteBeyond*'Team Planner'!PeriodInPlan</definedName>
    <definedName name="PercentComplete">PercentCompleteBeyond*PeriodInPlan</definedName>
    <definedName name="PercentCompleteBeyond" localSheetId="5">('Team Planner'!A$4=MEDIAN('Team Planner'!A$4,'Team Planner'!$E1,'Team Planner'!$E1+'Team Planner'!$F1)*('Team Planner'!$E1&gt;0))*(('Team Planner'!A$4&lt;(INT('Team Planner'!$E1+'Team Planner'!$F1*'Team Planner'!$G1)))+('Team Planner'!A$4='Team Planner'!$E1))*('Team Planner'!$G1&gt;0)</definedName>
    <definedName name="PercentCompleteBeyond">('Project Planner'!A$4=MEDIAN('Project Planner'!A$4,'Project Planner'!$E1,'Project Planner'!$E1+'Project Planner'!$F1)*('Project Planner'!$E1&gt;0))*(('Project Planner'!A$4&lt;(INT('Project Planner'!$E1+'Project Planner'!$F1*'Project Planner'!$G1)))+('Project Planner'!A$4='Project Planner'!$E1))*('Project Planner'!$G1&gt;0)</definedName>
    <definedName name="period_selected" localSheetId="5">'Team Planner'!$H$2</definedName>
    <definedName name="period_selected">'Project Planner'!$H$2</definedName>
    <definedName name="PeriodInActual" localSheetId="5">'Team Planner'!A$4=MEDIAN('Team Planner'!A$4,'Team Planner'!$E1,'Team Planner'!$E1+'Team Planner'!$F1-1)</definedName>
    <definedName name="PeriodInActual">'Project Planner'!A$4=MEDIAN('Project Planner'!A$4,'Project Planner'!$E1,'Project Planner'!$E1+'Project Planner'!$F1-1)</definedName>
    <definedName name="PeriodInPlan" localSheetId="5">'Team Planner'!A$4=MEDIAN('Team Planner'!A$4,'Team Planner'!$C1,'Team Planner'!$C1+'Team Planner'!$D1-1)</definedName>
    <definedName name="PeriodInPlan">'Project Planner'!A$4=MEDIAN('Project Planner'!A$4,'Project Planner'!$C1,'Project Planner'!$C1+'Project Planner'!$D1-1)</definedName>
    <definedName name="Plan" localSheetId="5">'Team Planner'!PeriodInPlan*('Team Planner'!$C1&gt;0)</definedName>
    <definedName name="Plan">PeriodInPlan*('Project Planner'!$C1&gt;0)</definedName>
    <definedName name="_xlnm.Print_Titles" localSheetId="4">'Project Planner'!$3:$4</definedName>
    <definedName name="_xlnm.Print_Titles" localSheetId="5">'Team Planner'!$3:$4</definedName>
    <definedName name="TitleRegion..BO60" localSheetId="5">'Team Planner'!$B$3:$B$4</definedName>
    <definedName name="TitleRegion..BO60">'Project Planner'!$B$3:$B$4</definedName>
  </definedNames>
  <calcPr calcId="191029"/>
  <pivotCaches>
    <pivotCache cacheId="88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6" i="11" l="1"/>
  <c r="B7" i="11"/>
  <c r="B5" i="11"/>
  <c r="B7" i="5"/>
  <c r="B8" i="5"/>
  <c r="B9" i="5"/>
  <c r="B10" i="5"/>
  <c r="B11" i="5"/>
  <c r="B6" i="5"/>
  <c r="B5" i="5"/>
  <c r="D6" i="11"/>
  <c r="D7" i="11"/>
  <c r="D5" i="11"/>
  <c r="H8" i="2" l="1"/>
  <c r="P8" i="2" s="1"/>
  <c r="R8" i="2" s="1"/>
  <c r="I8" i="2"/>
  <c r="Q8" i="2" s="1"/>
  <c r="J8" i="2"/>
  <c r="K8" i="2"/>
  <c r="M13" i="2"/>
  <c r="D4" i="1" s="1"/>
  <c r="O8" i="2" l="1"/>
  <c r="M8" i="2"/>
  <c r="J4" i="2"/>
  <c r="J5" i="2"/>
  <c r="J6" i="2"/>
  <c r="J7" i="2"/>
  <c r="J9" i="2"/>
  <c r="I4" i="2"/>
  <c r="Q4" i="2" s="1"/>
  <c r="I5" i="2"/>
  <c r="Q5" i="2" s="1"/>
  <c r="I6" i="2"/>
  <c r="Q6" i="2" s="1"/>
  <c r="I7" i="2"/>
  <c r="Q7" i="2" s="1"/>
  <c r="I9" i="2"/>
  <c r="Q9" i="2" s="1"/>
  <c r="H4" i="2"/>
  <c r="P4" i="2" s="1"/>
  <c r="H5" i="2"/>
  <c r="H6" i="2"/>
  <c r="P6" i="2" s="1"/>
  <c r="H7" i="2"/>
  <c r="P7" i="2" s="1"/>
  <c r="H9" i="2"/>
  <c r="P9" i="2" s="1"/>
  <c r="R9" i="2" s="1"/>
  <c r="H3" i="2"/>
  <c r="P3" i="2" s="1"/>
  <c r="I3" i="2"/>
  <c r="Q3" i="2" s="1"/>
  <c r="J3" i="2"/>
  <c r="K4" i="2"/>
  <c r="K5" i="2"/>
  <c r="K6" i="2"/>
  <c r="K7" i="2"/>
  <c r="K9" i="2"/>
  <c r="K3" i="2"/>
  <c r="R7" i="2" l="1"/>
  <c r="R6" i="2"/>
  <c r="R4" i="2"/>
  <c r="R3" i="2"/>
  <c r="O5" i="2"/>
  <c r="P5" i="2"/>
  <c r="R5" i="2" s="1"/>
  <c r="O3" i="2"/>
  <c r="O9" i="2"/>
  <c r="O7" i="2"/>
  <c r="O6" i="2"/>
  <c r="D10" i="5"/>
  <c r="F10" i="5" s="1"/>
  <c r="O4" i="2"/>
  <c r="M5" i="2"/>
  <c r="M9" i="2"/>
  <c r="M7" i="2"/>
  <c r="M6" i="2"/>
  <c r="H10" i="2"/>
  <c r="H14" i="2" s="1"/>
  <c r="H16" i="2" s="1"/>
  <c r="J10" i="2"/>
  <c r="J14" i="2" s="1"/>
  <c r="J16" i="2" s="1"/>
  <c r="K10" i="2"/>
  <c r="K14" i="2" s="1"/>
  <c r="K16" i="2" s="1"/>
  <c r="M4" i="2"/>
  <c r="I10" i="2"/>
  <c r="I14" i="2" s="1"/>
  <c r="I16" i="2" s="1"/>
  <c r="M3" i="2"/>
  <c r="D6" i="5" l="1"/>
  <c r="F6" i="5" s="1"/>
  <c r="F6" i="11"/>
  <c r="D8" i="5"/>
  <c r="F8" i="5" s="1"/>
  <c r="D9" i="5"/>
  <c r="F9" i="5" s="1"/>
  <c r="D11" i="5"/>
  <c r="F11" i="5" s="1"/>
  <c r="D5" i="5"/>
  <c r="F5" i="5" s="1"/>
  <c r="F5" i="11"/>
  <c r="D7" i="5"/>
  <c r="F7" i="5" s="1"/>
  <c r="F7" i="11"/>
  <c r="M10" i="2"/>
  <c r="M14" i="2"/>
  <c r="D2" i="1" s="1"/>
  <c r="M16" i="2"/>
  <c r="D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subramanyam.shankar</author>
  </authors>
  <commentList>
    <comment ref="H13" authorId="0" shapeId="0" xr:uid="{ED20917C-A466-4F00-9831-DF62B1D96C23}">
      <text>
        <r>
          <rPr>
            <b/>
            <sz val="9"/>
            <color indexed="81"/>
            <rFont val="Tahoma"/>
            <family val="2"/>
          </rPr>
          <t>subramanyam.shankar:</t>
        </r>
        <r>
          <rPr>
            <sz val="9"/>
            <color indexed="81"/>
            <rFont val="Tahoma"/>
            <family val="2"/>
          </rPr>
          <t xml:space="preserve">
Enter the number of FE Resources</t>
        </r>
      </text>
    </comment>
    <comment ref="I13" authorId="0" shapeId="0" xr:uid="{DA095AE3-2AA6-4A8D-85B1-2AE935B26166}">
      <text>
        <r>
          <rPr>
            <b/>
            <sz val="9"/>
            <color indexed="81"/>
            <rFont val="Tahoma"/>
            <family val="2"/>
          </rPr>
          <t>subramanyam.shankar:</t>
        </r>
        <r>
          <rPr>
            <sz val="9"/>
            <color indexed="81"/>
            <rFont val="Tahoma"/>
            <family val="2"/>
          </rPr>
          <t xml:space="preserve">
Enter the number of BE Resources</t>
        </r>
      </text>
    </comment>
    <comment ref="J13" authorId="0" shapeId="0" xr:uid="{5724398E-EDF4-47A1-9B5D-AAC050A4C8B6}">
      <text>
        <r>
          <rPr>
            <b/>
            <sz val="9"/>
            <color indexed="81"/>
            <rFont val="Tahoma"/>
            <family val="2"/>
          </rPr>
          <t>subramanyam.shankar:</t>
        </r>
        <r>
          <rPr>
            <sz val="9"/>
            <color indexed="81"/>
            <rFont val="Tahoma"/>
            <family val="2"/>
          </rPr>
          <t xml:space="preserve">
Enter the Number of QA resources. QA can be left blank.</t>
        </r>
      </text>
    </comment>
    <comment ref="K13" authorId="0" shapeId="0" xr:uid="{8ECD56D3-64C0-42F6-B97B-BE0C091C16DF}">
      <text>
        <r>
          <rPr>
            <b/>
            <sz val="9"/>
            <color indexed="81"/>
            <rFont val="Tahoma"/>
            <family val="2"/>
          </rPr>
          <t>subramanyam.shankar:</t>
        </r>
        <r>
          <rPr>
            <sz val="9"/>
            <color indexed="81"/>
            <rFont val="Tahoma"/>
            <family val="2"/>
          </rPr>
          <t xml:space="preserve">
Enter the number of Dev Ops resources. This is an optional field can be left blank.</t>
        </r>
      </text>
    </comment>
  </commentList>
</comments>
</file>

<file path=xl/sharedStrings.xml><?xml version="1.0" encoding="utf-8"?>
<sst xmlns="http://schemas.openxmlformats.org/spreadsheetml/2006/main" count="102" uniqueCount="68">
  <si>
    <t>Requirement</t>
  </si>
  <si>
    <t>Front End</t>
  </si>
  <si>
    <t>Back End</t>
  </si>
  <si>
    <t>Requirement ID</t>
  </si>
  <si>
    <t>Sub Requirements</t>
  </si>
  <si>
    <t>QA</t>
  </si>
  <si>
    <t>Dev Ops</t>
  </si>
  <si>
    <t>XXXS</t>
  </si>
  <si>
    <t>XXS</t>
  </si>
  <si>
    <t>XS</t>
  </si>
  <si>
    <t>S</t>
  </si>
  <si>
    <t>M</t>
  </si>
  <si>
    <t>L</t>
  </si>
  <si>
    <t>XL</t>
  </si>
  <si>
    <t>XXL</t>
  </si>
  <si>
    <t>XXXL</t>
  </si>
  <si>
    <t>XXXXL</t>
  </si>
  <si>
    <t>Size</t>
  </si>
  <si>
    <t>Days</t>
  </si>
  <si>
    <t>Total Effort (In Man Days)</t>
  </si>
  <si>
    <t>Initiative Name High Level Estimates - Summary</t>
  </si>
  <si>
    <t>Initiative Name High Level Estimates - Detailed</t>
  </si>
  <si>
    <t>Depedendant on Requirement ID</t>
  </si>
  <si>
    <t>Requirement1</t>
  </si>
  <si>
    <t>Total</t>
  </si>
  <si>
    <t>Front End T-Shirt</t>
  </si>
  <si>
    <t>Back End T-Shirt</t>
  </si>
  <si>
    <t>DevOps T-Shirt</t>
  </si>
  <si>
    <t>QA T-Shirt</t>
  </si>
  <si>
    <t>No of Resources</t>
  </si>
  <si>
    <t>Inflation Rate</t>
  </si>
  <si>
    <t>No of Days in Sprint</t>
  </si>
  <si>
    <t>No of Sprints</t>
  </si>
  <si>
    <t># Sprints</t>
  </si>
  <si>
    <t># Resources</t>
  </si>
  <si>
    <t xml:space="preserve"> </t>
  </si>
  <si>
    <t>Requirement2</t>
  </si>
  <si>
    <t>Requirement3</t>
  </si>
  <si>
    <t>Requirement4</t>
  </si>
  <si>
    <t>Requirement5</t>
  </si>
  <si>
    <t>Requirement6</t>
  </si>
  <si>
    <t>Requirement7</t>
  </si>
  <si>
    <t>PERIODS</t>
  </si>
  <si>
    <t>PERCENT COMPLETE</t>
  </si>
  <si>
    <t>ACTUAL DURATION</t>
  </si>
  <si>
    <t>ACTUAL START</t>
  </si>
  <si>
    <t>PLAN DURATION</t>
  </si>
  <si>
    <t>PLAN START</t>
  </si>
  <si>
    <t>ACTIVITY</t>
  </si>
  <si>
    <r>
      <rPr>
        <sz val="12"/>
        <color theme="1" tint="0.24994659260841701"/>
        <rFont val="Calibri"/>
        <family val="2"/>
      </rPr>
      <t>%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 tint="0.24994659260841701"/>
        <rFont val="Calibri"/>
        <family val="2"/>
      </rPr>
      <t>Complete (beyond plan)</t>
    </r>
  </si>
  <si>
    <r>
      <rPr>
        <sz val="12"/>
        <color theme="1" tint="0.24994659260841701"/>
        <rFont val="Calibri"/>
        <family val="2"/>
      </rPr>
      <t>Actual (beyond plan</t>
    </r>
    <r>
      <rPr>
        <sz val="11"/>
        <color theme="1"/>
        <rFont val="Calibri"/>
        <family val="2"/>
        <scheme val="min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</si>
  <si>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 tint="0.24994659260841701"/>
        <rFont val="Calibri"/>
        <family val="2"/>
      </rPr>
      <t>Complete</t>
    </r>
  </si>
  <si>
    <t>Actual Start</t>
  </si>
  <si>
    <t>Plan Duration</t>
  </si>
  <si>
    <t xml:space="preserve"> Period Highlight:</t>
  </si>
  <si>
    <t>Select a period to highlight at right.  A legend describing the charting follows.</t>
  </si>
  <si>
    <t>Project Planner</t>
  </si>
  <si>
    <t>In Sprints</t>
  </si>
  <si>
    <t>Sprints</t>
  </si>
  <si>
    <t>Team</t>
  </si>
  <si>
    <t>Team 1</t>
  </si>
  <si>
    <t>Team 2</t>
  </si>
  <si>
    <t>Team 3</t>
  </si>
  <si>
    <t>Row Labels</t>
  </si>
  <si>
    <t>Grand Total</t>
  </si>
  <si>
    <t>FE+BE</t>
  </si>
  <si>
    <t>Sum of FE+BE</t>
  </si>
  <si>
    <t>SPRINTS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</si>
</sst>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11"/>
      <color theme="1" tint="0.24994659260841701"/>
      <name val="Calibri Light"/>
      <family val="2"/>
      <scheme val="major"/>
    </font>
    <font>
      <b/>
      <sz val="13"/>
      <color theme="7"/>
      <name val="Calibri Light"/>
      <family val="2"/>
      <scheme val="major"/>
    </font>
    <font>
      <b/>
      <sz val="13"/>
      <color theme="1" tint="0.24994659260841701"/>
      <name val="Calibri Light"/>
      <family val="2"/>
      <scheme val="major"/>
    </font>
    <font>
      <b/>
      <sz val="13"/>
      <color theme="7"/>
      <name val="Calibri"/>
    </font>
    <font>
      <sz val="12"/>
      <color theme="1" tint="0.24994659260841701"/>
      <name val="Calibri"/>
    </font>
    <font>
      <b/>
      <sz val="13"/>
      <color theme="1" tint="0.24994659260841701"/>
      <name val="Calibri"/>
    </font>
    <font>
      <b/>
      <sz val="11"/>
      <color theme="1" tint="0.34998626667073579"/>
      <name val="Calibri"/>
      <family val="2"/>
      <scheme val="minor"/>
    </font>
    <font>
      <sz val="14"/>
      <color theme="1" tint="0.24994659260841701"/>
      <name val="Calibri"/>
      <family val="2"/>
      <scheme val="minor"/>
    </font>
    <font>
      <sz val="12"/>
      <color theme="1" tint="0.24994659260841701"/>
      <name val="Calibri"/>
      <family val="2"/>
    </font>
    <font>
      <sz val="12"/>
      <color theme="1" tint="0.24994659260841701"/>
      <name val="Calibri Light"/>
      <family val="2"/>
      <scheme val="major"/>
    </font>
    <font>
      <b/>
      <sz val="11"/>
      <color theme="1" tint="0.24994659260841701"/>
      <name val="Calibri"/>
      <family val="2"/>
      <scheme val="minor"/>
    </font>
    <font>
      <i/>
      <sz val="11"/>
      <color theme="7"/>
      <name val="Calibri"/>
      <family val="2"/>
      <scheme val="minor"/>
    </font>
    <font>
      <b/>
      <sz val="42"/>
      <color theme="7"/>
      <name val="Calibri Light"/>
      <family val="2"/>
      <scheme val="major"/>
    </font>
    <font>
      <b/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7" tint="0.59996337778862885"/>
      </patternFill>
    </fill>
    <fill>
      <patternFill patternType="lightUp">
        <fgColor theme="7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8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7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 style="thick">
        <color theme="0"/>
      </right>
      <top/>
      <bottom/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1">
    <xf numFmtId="0" fontId="0" fillId="0" borderId="0"/>
    <xf numFmtId="0" fontId="1" fillId="2" borderId="0" applyNumberFormat="0" applyBorder="0" applyAlignment="0" applyProtection="0"/>
    <xf numFmtId="0" fontId="9" fillId="0" borderId="0" applyNumberFormat="0" applyFill="0" applyBorder="0" applyProtection="0">
      <alignment horizontal="center" vertical="center"/>
    </xf>
    <xf numFmtId="9" fontId="10" fillId="0" borderId="0" applyFill="0" applyBorder="0" applyProtection="0">
      <alignment horizontal="center" vertical="center"/>
    </xf>
    <xf numFmtId="0" fontId="11" fillId="0" borderId="0" applyFill="0" applyBorder="0" applyProtection="0">
      <alignment horizontal="left" wrapText="1"/>
    </xf>
    <xf numFmtId="3" fontId="15" fillId="0" borderId="6" applyFill="0" applyProtection="0">
      <alignment horizontal="center"/>
    </xf>
    <xf numFmtId="0" fontId="15" fillId="0" borderId="0" applyFill="0" applyProtection="0">
      <alignment horizontal="center" vertical="center" wrapText="1"/>
    </xf>
    <xf numFmtId="0" fontId="15" fillId="0" borderId="0" applyFill="0" applyProtection="0">
      <alignment vertical="center"/>
    </xf>
    <xf numFmtId="0" fontId="15" fillId="0" borderId="0" applyFill="0" applyBorder="0" applyProtection="0">
      <alignment horizontal="center" wrapText="1"/>
    </xf>
    <xf numFmtId="0" fontId="15" fillId="0" borderId="0" applyFill="0" applyProtection="0">
      <alignment horizontal="left"/>
    </xf>
    <xf numFmtId="0" fontId="16" fillId="0" borderId="0" applyNumberFormat="0" applyFill="0" applyBorder="0" applyProtection="0">
      <alignment horizontal="left" vertical="center"/>
    </xf>
    <xf numFmtId="0" fontId="9" fillId="7" borderId="9" applyNumberFormat="0" applyFont="0" applyAlignment="0">
      <alignment horizontal="center"/>
    </xf>
    <xf numFmtId="0" fontId="9" fillId="8" borderId="9" applyNumberFormat="0" applyFont="0" applyAlignment="0">
      <alignment horizontal="center"/>
    </xf>
    <xf numFmtId="0" fontId="9" fillId="9" borderId="9" applyNumberFormat="0" applyFont="0" applyAlignment="0">
      <alignment horizontal="center"/>
    </xf>
    <xf numFmtId="0" fontId="9" fillId="10" borderId="9" applyNumberFormat="0" applyFont="0" applyAlignment="0">
      <alignment horizontal="center"/>
    </xf>
    <xf numFmtId="0" fontId="9" fillId="11" borderId="11" applyNumberFormat="0" applyFont="0" applyAlignment="0">
      <alignment horizontal="center"/>
    </xf>
    <xf numFmtId="1" fontId="18" fillId="12" borderId="12">
      <alignment horizontal="center" vertical="center"/>
    </xf>
    <xf numFmtId="0" fontId="19" fillId="12" borderId="12" applyNumberFormat="0" applyProtection="0">
      <alignment horizontal="left" vertical="center"/>
    </xf>
    <xf numFmtId="0" fontId="20" fillId="0" borderId="0" applyNumberFormat="0" applyFill="0" applyBorder="0" applyProtection="0">
      <alignment vertical="center"/>
    </xf>
    <xf numFmtId="0" fontId="21" fillId="0" borderId="0" applyNumberFormat="0" applyFill="0" applyBorder="0" applyAlignment="0" applyProtection="0"/>
    <xf numFmtId="0" fontId="21" fillId="0" borderId="0" applyNumberFormat="0" applyFill="0" applyBorder="0" applyProtection="0">
      <alignment vertical="center"/>
    </xf>
  </cellStyleXfs>
  <cellXfs count="71">
    <xf numFmtId="0" fontId="0" fillId="0" borderId="0" xfId="0"/>
    <xf numFmtId="0" fontId="2" fillId="3" borderId="5" xfId="0" applyFont="1" applyFill="1" applyBorder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2" fillId="3" borderId="5" xfId="0" applyFont="1" applyFill="1" applyBorder="1" applyAlignment="1">
      <alignment horizontal="center" vertical="top"/>
    </xf>
    <xf numFmtId="0" fontId="0" fillId="0" borderId="5" xfId="0" applyBorder="1" applyAlignment="1">
      <alignment horizontal="center"/>
    </xf>
    <xf numFmtId="0" fontId="4" fillId="4" borderId="5" xfId="1" applyFont="1" applyFill="1" applyBorder="1" applyAlignment="1">
      <alignment horizontal="left" vertical="top" wrapText="1"/>
    </xf>
    <xf numFmtId="0" fontId="3" fillId="4" borderId="0" xfId="0" applyFont="1" applyFill="1" applyBorder="1"/>
    <xf numFmtId="0" fontId="0" fillId="4" borderId="0" xfId="0" applyFill="1"/>
    <xf numFmtId="0" fontId="0" fillId="4" borderId="0" xfId="0" applyFill="1" applyAlignment="1">
      <alignment wrapText="1"/>
    </xf>
    <xf numFmtId="0" fontId="4" fillId="4" borderId="1" xfId="1" applyFont="1" applyFill="1" applyBorder="1" applyAlignment="1">
      <alignment horizontal="left" vertical="top" wrapText="1"/>
    </xf>
    <xf numFmtId="0" fontId="0" fillId="0" borderId="1" xfId="0" applyBorder="1" applyAlignment="1">
      <alignment horizontal="center" vertical="top" wrapText="1"/>
    </xf>
    <xf numFmtId="0" fontId="0" fillId="4" borderId="0" xfId="0" applyFill="1" applyAlignment="1">
      <alignment horizontal="left" vertical="top"/>
    </xf>
    <xf numFmtId="0" fontId="0" fillId="0" borderId="0" xfId="0" applyAlignment="1">
      <alignment horizontal="left" vertical="top"/>
    </xf>
    <xf numFmtId="0" fontId="0" fillId="4" borderId="5" xfId="0" applyFill="1" applyBorder="1" applyAlignment="1">
      <alignment horizontal="left" vertical="top"/>
    </xf>
    <xf numFmtId="0" fontId="0" fillId="4" borderId="5" xfId="0" applyFill="1" applyBorder="1" applyAlignment="1">
      <alignment horizontal="left" vertical="top" wrapText="1"/>
    </xf>
    <xf numFmtId="0" fontId="0" fillId="4" borderId="0" xfId="0" applyFill="1" applyAlignment="1">
      <alignment horizontal="left" vertical="top" wrapText="1"/>
    </xf>
    <xf numFmtId="0" fontId="0" fillId="5" borderId="5" xfId="0" applyFill="1" applyBorder="1" applyAlignment="1">
      <alignment horizontal="left" vertical="top" wrapText="1"/>
    </xf>
    <xf numFmtId="0" fontId="0" fillId="6" borderId="5" xfId="0" applyFill="1" applyBorder="1" applyAlignment="1">
      <alignment horizontal="left" vertical="top" wrapText="1"/>
    </xf>
    <xf numFmtId="0" fontId="0" fillId="0" borderId="5" xfId="0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horizontal="center" vertical="top" wrapText="1"/>
    </xf>
    <xf numFmtId="0" fontId="2" fillId="3" borderId="4" xfId="0" applyFont="1" applyFill="1" applyBorder="1" applyAlignment="1">
      <alignment horizontal="center" vertical="top" wrapText="1"/>
    </xf>
    <xf numFmtId="0" fontId="9" fillId="0" borderId="0" xfId="2">
      <alignment horizontal="center" vertical="center"/>
    </xf>
    <xf numFmtId="0" fontId="9" fillId="0" borderId="0" xfId="2" applyAlignment="1">
      <alignment horizontal="center"/>
    </xf>
    <xf numFmtId="9" fontId="10" fillId="0" borderId="0" xfId="3">
      <alignment horizontal="center" vertical="center"/>
    </xf>
    <xf numFmtId="0" fontId="11" fillId="0" borderId="0" xfId="4">
      <alignment horizontal="left" wrapText="1"/>
    </xf>
    <xf numFmtId="9" fontId="12" fillId="0" borderId="0" xfId="3" applyFont="1">
      <alignment horizontal="center" vertical="center"/>
    </xf>
    <xf numFmtId="0" fontId="13" fillId="0" borderId="0" xfId="2" applyFont="1" applyAlignment="1">
      <alignment horizontal="center"/>
    </xf>
    <xf numFmtId="0" fontId="14" fillId="0" borderId="0" xfId="4" applyFont="1">
      <alignment horizontal="left" wrapText="1"/>
    </xf>
    <xf numFmtId="3" fontId="15" fillId="0" borderId="6" xfId="5">
      <alignment horizontal="center"/>
    </xf>
    <xf numFmtId="0" fontId="15" fillId="0" borderId="6" xfId="6" applyBorder="1">
      <alignment horizontal="center" vertical="center" wrapText="1"/>
    </xf>
    <xf numFmtId="0" fontId="15" fillId="0" borderId="6" xfId="7" applyBorder="1">
      <alignment vertical="center"/>
    </xf>
    <xf numFmtId="0" fontId="9" fillId="0" borderId="0" xfId="2" applyAlignment="1">
      <alignment vertical="center" wrapText="1"/>
    </xf>
    <xf numFmtId="0" fontId="9" fillId="0" borderId="0" xfId="2" applyAlignment="1">
      <alignment horizontal="center" wrapText="1"/>
    </xf>
    <xf numFmtId="0" fontId="15" fillId="0" borderId="0" xfId="8">
      <alignment horizontal="center" wrapText="1"/>
    </xf>
    <xf numFmtId="0" fontId="15" fillId="0" borderId="0" xfId="9">
      <alignment horizontal="left"/>
    </xf>
    <xf numFmtId="0" fontId="15" fillId="0" borderId="7" xfId="6" applyBorder="1">
      <alignment horizontal="center" vertical="center" wrapText="1"/>
    </xf>
    <xf numFmtId="0" fontId="15" fillId="0" borderId="0" xfId="6">
      <alignment horizontal="center" vertical="center" wrapText="1"/>
    </xf>
    <xf numFmtId="0" fontId="15" fillId="0" borderId="0" xfId="7">
      <alignment vertical="center"/>
    </xf>
    <xf numFmtId="0" fontId="0" fillId="0" borderId="0" xfId="10" applyFont="1" applyBorder="1">
      <alignment horizontal="left" vertical="center"/>
    </xf>
    <xf numFmtId="0" fontId="0" fillId="0" borderId="8" xfId="10" applyFont="1" applyBorder="1">
      <alignment horizontal="left" vertical="center"/>
    </xf>
    <xf numFmtId="0" fontId="0" fillId="7" borderId="9" xfId="11" applyFont="1" applyAlignment="1">
      <alignment horizontal="center"/>
    </xf>
    <xf numFmtId="0" fontId="0" fillId="0" borderId="10" xfId="10" applyFont="1" applyBorder="1">
      <alignment horizontal="left" vertical="center"/>
    </xf>
    <xf numFmtId="0" fontId="0" fillId="8" borderId="9" xfId="12" applyFont="1" applyAlignment="1">
      <alignment horizontal="center"/>
    </xf>
    <xf numFmtId="0" fontId="0" fillId="9" borderId="9" xfId="13" applyFont="1" applyAlignment="1">
      <alignment horizontal="center"/>
    </xf>
    <xf numFmtId="0" fontId="17" fillId="0" borderId="10" xfId="10" applyFont="1" applyBorder="1">
      <alignment horizontal="left" vertical="center"/>
    </xf>
    <xf numFmtId="0" fontId="17" fillId="0" borderId="0" xfId="10" applyFont="1" applyBorder="1">
      <alignment horizontal="left" vertical="center"/>
    </xf>
    <xf numFmtId="0" fontId="17" fillId="0" borderId="8" xfId="10" applyFont="1" applyBorder="1">
      <alignment horizontal="left" vertical="center"/>
    </xf>
    <xf numFmtId="0" fontId="0" fillId="10" borderId="9" xfId="14" applyFont="1" applyAlignment="1">
      <alignment horizontal="center"/>
    </xf>
    <xf numFmtId="0" fontId="17" fillId="0" borderId="0" xfId="10" applyFont="1">
      <alignment horizontal="left" vertical="center"/>
    </xf>
    <xf numFmtId="0" fontId="0" fillId="11" borderId="11" xfId="15" applyFont="1" applyAlignment="1">
      <alignment horizontal="center"/>
    </xf>
    <xf numFmtId="1" fontId="18" fillId="12" borderId="12" xfId="16">
      <alignment horizontal="center" vertical="center"/>
    </xf>
    <xf numFmtId="0" fontId="19" fillId="12" borderId="12" xfId="17">
      <alignment horizontal="left" vertical="center"/>
    </xf>
    <xf numFmtId="0" fontId="20" fillId="0" borderId="0" xfId="18">
      <alignment vertical="center"/>
    </xf>
    <xf numFmtId="0" fontId="21" fillId="0" borderId="0" xfId="19" applyAlignment="1">
      <alignment horizontal="center"/>
    </xf>
    <xf numFmtId="0" fontId="21" fillId="0" borderId="0" xfId="20">
      <alignment vertical="center"/>
    </xf>
    <xf numFmtId="0" fontId="22" fillId="6" borderId="5" xfId="0" applyFont="1" applyFill="1" applyBorder="1" applyAlignment="1">
      <alignment horizontal="center" vertical="top" wrapText="1"/>
    </xf>
    <xf numFmtId="1" fontId="0" fillId="0" borderId="5" xfId="0" applyNumberFormat="1" applyBorder="1" applyAlignment="1">
      <alignment horizontal="left" vertical="top" wrapText="1"/>
    </xf>
    <xf numFmtId="1" fontId="13" fillId="0" borderId="0" xfId="2" applyNumberFormat="1" applyFont="1" applyAlignment="1">
      <alignment horizontal="center"/>
    </xf>
    <xf numFmtId="0" fontId="0" fillId="0" borderId="0" xfId="0" applyBorder="1" applyAlignment="1">
      <alignment horizontal="left" vertical="top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2" fillId="6" borderId="5" xfId="0" applyFont="1" applyFill="1" applyBorder="1" applyAlignment="1">
      <alignment horizontal="center" vertical="top" wrapText="1"/>
    </xf>
    <xf numFmtId="0" fontId="0" fillId="13" borderId="13" xfId="0" applyFill="1" applyBorder="1" applyAlignment="1">
      <alignment horizontal="center" vertical="top" wrapText="1"/>
    </xf>
    <xf numFmtId="0" fontId="0" fillId="13" borderId="14" xfId="0" applyFill="1" applyBorder="1" applyAlignment="1">
      <alignment horizontal="center" vertical="top" wrapText="1"/>
    </xf>
    <xf numFmtId="0" fontId="22" fillId="13" borderId="5" xfId="0" applyFont="1" applyFill="1" applyBorder="1" applyAlignment="1">
      <alignment horizontal="center" vertical="top" wrapText="1"/>
    </xf>
    <xf numFmtId="0" fontId="8" fillId="13" borderId="5" xfId="0" applyFont="1" applyFill="1" applyBorder="1" applyAlignment="1">
      <alignment horizontal="left" vertical="top" wrapText="1"/>
    </xf>
  </cellXfs>
  <cellStyles count="21">
    <cellStyle name="% complete" xfId="13" xr:uid="{F7C3787E-70D1-424C-BAA0-9C1284B8E61C}"/>
    <cellStyle name="% complete (beyond plan) legend" xfId="11" xr:uid="{423EFE12-AA8C-4FBD-A9D8-6D1BD816FDA8}"/>
    <cellStyle name="Activity" xfId="4" xr:uid="{77FD6600-44A2-4138-9BA9-D2910E105C01}"/>
    <cellStyle name="Actual (beyond plan) legend" xfId="12" xr:uid="{165C013E-5AE7-4067-99BF-F4B25B7EBCD6}"/>
    <cellStyle name="Actual legend" xfId="14" xr:uid="{DECB1768-8496-4036-ACAE-B769456A9B79}"/>
    <cellStyle name="Explanatory Text 2" xfId="18" xr:uid="{37650D7E-3AC5-4115-B2BD-9F32B8D6E940}"/>
    <cellStyle name="Good" xfId="1" builtinId="26"/>
    <cellStyle name="Heading 1 2" xfId="19" xr:uid="{FEA21B78-8BEF-4E99-81DF-8FCB417BB62F}"/>
    <cellStyle name="Heading 2 2" xfId="7" xr:uid="{0387CDDB-2BD6-400F-A1CF-D96820C75F09}"/>
    <cellStyle name="Heading 3 2" xfId="6" xr:uid="{726EC483-05C5-4048-8CC5-3DB0F32475CD}"/>
    <cellStyle name="Heading 4 2" xfId="9" xr:uid="{5FEE48A7-18C0-4D28-8E4B-5DF54CB1C3B1}"/>
    <cellStyle name="Label" xfId="10" xr:uid="{01494FE5-4687-4F53-8052-E2EF593018F9}"/>
    <cellStyle name="Normal" xfId="0" builtinId="0"/>
    <cellStyle name="Normal 2" xfId="2" xr:uid="{B1D12E12-7E47-4791-8721-AF997575DFCE}"/>
    <cellStyle name="Percent Complete" xfId="3" xr:uid="{7BA672DC-E308-40AB-A080-157E322E08D8}"/>
    <cellStyle name="Period Headers" xfId="5" xr:uid="{87FA456B-6FD1-41E1-9443-3139373EB6F5}"/>
    <cellStyle name="Period Highlight Control" xfId="17" xr:uid="{131CC2CA-A2BB-4793-BD4F-EADB1B491CF5}"/>
    <cellStyle name="Period Value" xfId="16" xr:uid="{8CB4BD1A-2F6F-44F9-82D8-26186E0C65E2}"/>
    <cellStyle name="Plan legend" xfId="15" xr:uid="{8D3C8492-FFC6-4B2B-9145-501E89D00289}"/>
    <cellStyle name="Project Headers" xfId="8" xr:uid="{31F8F62A-6204-4B9B-AE72-2144C8C0345D}"/>
    <cellStyle name="Title 2" xfId="20" xr:uid="{A96A6A87-F046-4FDC-A024-E2287D38AF6C}"/>
  </cellStyles>
  <dxfs count="20"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va Nomula" refreshedDate="44090.513108564817" createdVersion="6" refreshedVersion="6" minRefreshableVersion="3" recordCount="7" xr:uid="{D7821D7A-8EFF-49A0-B1DD-04C399215D3B}">
  <cacheSource type="worksheet">
    <worksheetSource ref="A2:O9" sheet="Estimations - Detailed"/>
  </cacheSource>
  <cacheFields count="15">
    <cacheField name="Requirement ID" numFmtId="0">
      <sharedItems containsSemiMixedTypes="0" containsString="0" containsNumber="1" containsInteger="1" minValue="1" maxValue="7" count="7">
        <n v="1"/>
        <n v="2"/>
        <n v="3"/>
        <n v="4"/>
        <n v="5"/>
        <n v="6"/>
        <n v="7"/>
      </sharedItems>
    </cacheField>
    <cacheField name="Requirement" numFmtId="0">
      <sharedItems/>
    </cacheField>
    <cacheField name="Sub Requirements" numFmtId="0">
      <sharedItems containsNonDate="0" containsString="0" containsBlank="1"/>
    </cacheField>
    <cacheField name="Front End T-Shirt" numFmtId="0">
      <sharedItems containsBlank="1"/>
    </cacheField>
    <cacheField name="Back End T-Shirt" numFmtId="0">
      <sharedItems containsBlank="1"/>
    </cacheField>
    <cacheField name="DevOps T-Shirt" numFmtId="0">
      <sharedItems containsBlank="1"/>
    </cacheField>
    <cacheField name="QA T-Shirt" numFmtId="0">
      <sharedItems containsBlank="1"/>
    </cacheField>
    <cacheField name="Front End" numFmtId="0">
      <sharedItems containsSemiMixedTypes="0" containsString="0" containsNumber="1" containsInteger="1" minValue="0" maxValue="34"/>
    </cacheField>
    <cacheField name="Back End" numFmtId="0">
      <sharedItems containsSemiMixedTypes="0" containsString="0" containsNumber="1" containsInteger="1" minValue="0" maxValue="55"/>
    </cacheField>
    <cacheField name="QA" numFmtId="0">
      <sharedItems containsSemiMixedTypes="0" containsString="0" containsNumber="1" containsInteger="1" minValue="0" maxValue="5"/>
    </cacheField>
    <cacheField name="Dev Ops" numFmtId="0">
      <sharedItems containsSemiMixedTypes="0" containsString="0" containsNumber="1" containsInteger="1" minValue="0" maxValue="5"/>
    </cacheField>
    <cacheField name="Depedendant on Requirement ID" numFmtId="0">
      <sharedItems containsString="0" containsBlank="1" containsNumber="1" containsInteger="1" minValue="1" maxValue="7"/>
    </cacheField>
    <cacheField name="Total" numFmtId="0">
      <sharedItems containsSemiMixedTypes="0" containsString="0" containsNumber="1" containsInteger="1" minValue="3" maxValue="55"/>
    </cacheField>
    <cacheField name="Team" numFmtId="0">
      <sharedItems count="7">
        <s v="Team 1"/>
        <s v="Team 2"/>
        <s v="Team 3"/>
        <s v="Team 4" u="1"/>
        <s v="Team 5" u="1"/>
        <s v="Team 6" u="1"/>
        <s v="Team 7" u="1"/>
      </sharedItems>
    </cacheField>
    <cacheField name="FE+BE" numFmtId="0">
      <sharedItems containsSemiMixedTypes="0" containsString="0" containsNumber="1" containsInteger="1" minValue="3" maxValue="5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s v="Requirement1"/>
    <m/>
    <s v="M"/>
    <s v="S"/>
    <s v="XXS"/>
    <s v="XXS"/>
    <n v="21"/>
    <n v="13"/>
    <n v="5"/>
    <n v="5"/>
    <m/>
    <n v="44"/>
    <x v="0"/>
    <n v="34"/>
  </r>
  <r>
    <x v="1"/>
    <s v="Requirement2"/>
    <m/>
    <m/>
    <s v="XL"/>
    <m/>
    <m/>
    <n v="0"/>
    <n v="55"/>
    <n v="0"/>
    <n v="0"/>
    <m/>
    <n v="55"/>
    <x v="1"/>
    <n v="55"/>
  </r>
  <r>
    <x v="2"/>
    <s v="Requirement3"/>
    <m/>
    <s v="XXS"/>
    <m/>
    <m/>
    <m/>
    <n v="5"/>
    <n v="0"/>
    <n v="0"/>
    <n v="0"/>
    <n v="7"/>
    <n v="5"/>
    <x v="2"/>
    <n v="5"/>
  </r>
  <r>
    <x v="3"/>
    <s v="Requirement4"/>
    <m/>
    <m/>
    <s v="XS"/>
    <m/>
    <m/>
    <n v="0"/>
    <n v="8"/>
    <n v="0"/>
    <n v="0"/>
    <n v="3"/>
    <n v="8"/>
    <x v="0"/>
    <n v="8"/>
  </r>
  <r>
    <x v="4"/>
    <s v="Requirement5"/>
    <m/>
    <m/>
    <s v="L"/>
    <m/>
    <m/>
    <n v="0"/>
    <n v="34"/>
    <n v="0"/>
    <n v="0"/>
    <n v="3"/>
    <n v="34"/>
    <x v="1"/>
    <n v="34"/>
  </r>
  <r>
    <x v="5"/>
    <s v="Requirement6"/>
    <m/>
    <s v="L"/>
    <m/>
    <m/>
    <m/>
    <n v="34"/>
    <n v="0"/>
    <n v="0"/>
    <n v="0"/>
    <n v="2"/>
    <n v="34"/>
    <x v="2"/>
    <n v="34"/>
  </r>
  <r>
    <x v="6"/>
    <s v="Requirement7"/>
    <m/>
    <m/>
    <s v="XXXS"/>
    <m/>
    <m/>
    <n v="0"/>
    <n v="3"/>
    <n v="0"/>
    <n v="0"/>
    <n v="1"/>
    <n v="3"/>
    <x v="0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7BA58F-343A-4ADA-AB6A-4D2CEF8DAB2C}" name="PivotTable7" cacheId="8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7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0"/>
        <item x="1"/>
        <item x="2"/>
        <item m="1" x="3"/>
        <item m="1" x="4"/>
        <item m="1" x="5"/>
        <item m="1" x="6"/>
        <item t="default"/>
      </items>
    </pivotField>
    <pivotField dataField="1" showAll="0"/>
  </pivotFields>
  <rowFields count="1">
    <field x="1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FE+BE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56273-BF1B-4709-AA99-7F2531F87243}">
  <dimension ref="A1:CK794"/>
  <sheetViews>
    <sheetView topLeftCell="C1" zoomScale="104" zoomScaleNormal="104" workbookViewId="0">
      <selection activeCell="G11" sqref="G11"/>
    </sheetView>
  </sheetViews>
  <sheetFormatPr defaultRowHeight="15" x14ac:dyDescent="0.25"/>
  <cols>
    <col min="1" max="1" width="0" style="8" hidden="1" customWidth="1"/>
    <col min="2" max="2" width="7.85546875" style="8" hidden="1" customWidth="1"/>
    <col min="3" max="3" width="37.5703125" customWidth="1"/>
    <col min="4" max="4" width="17.5703125" customWidth="1"/>
    <col min="5" max="89" width="8.7109375" style="8"/>
  </cols>
  <sheetData>
    <row r="1" spans="1:89" x14ac:dyDescent="0.25">
      <c r="C1" s="20" t="s">
        <v>20</v>
      </c>
      <c r="D1" s="21"/>
    </row>
    <row r="2" spans="1:89" s="13" customFormat="1" x14ac:dyDescent="0.25">
      <c r="A2" s="12"/>
      <c r="B2" s="12"/>
      <c r="C2" s="10" t="s">
        <v>19</v>
      </c>
      <c r="D2" s="6">
        <f>'Estimations - Detailed'!M14</f>
        <v>366</v>
      </c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</row>
    <row r="3" spans="1:89" s="13" customFormat="1" x14ac:dyDescent="0.25">
      <c r="A3" s="12"/>
      <c r="B3" s="12"/>
      <c r="C3" s="6" t="s">
        <v>33</v>
      </c>
      <c r="D3" s="6">
        <f>'Estimations - Detailed'!M16</f>
        <v>5.65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</row>
    <row r="4" spans="1:89" s="12" customFormat="1" x14ac:dyDescent="0.25">
      <c r="C4" s="14" t="s">
        <v>34</v>
      </c>
      <c r="D4" s="15">
        <f>'Estimations - Detailed'!M13</f>
        <v>10</v>
      </c>
      <c r="E4" s="16"/>
      <c r="F4" s="16"/>
      <c r="G4" s="16"/>
    </row>
    <row r="5" spans="1:89" s="8" customFormat="1" x14ac:dyDescent="0.25">
      <c r="D5" s="9" t="s">
        <v>35</v>
      </c>
      <c r="E5" s="9"/>
      <c r="F5" s="9"/>
      <c r="G5" s="9"/>
    </row>
    <row r="6" spans="1:89" s="8" customFormat="1" x14ac:dyDescent="0.25"/>
    <row r="7" spans="1:89" s="8" customFormat="1" x14ac:dyDescent="0.25"/>
    <row r="8" spans="1:89" s="8" customFormat="1" x14ac:dyDescent="0.25"/>
    <row r="9" spans="1:89" s="8" customFormat="1" x14ac:dyDescent="0.25"/>
    <row r="10" spans="1:89" s="8" customFormat="1" x14ac:dyDescent="0.25"/>
    <row r="11" spans="1:89" s="8" customFormat="1" x14ac:dyDescent="0.25"/>
    <row r="12" spans="1:89" s="8" customFormat="1" x14ac:dyDescent="0.25"/>
    <row r="13" spans="1:89" s="8" customFormat="1" x14ac:dyDescent="0.25"/>
    <row r="14" spans="1:89" s="8" customFormat="1" x14ac:dyDescent="0.25"/>
    <row r="15" spans="1:89" s="8" customFormat="1" x14ac:dyDescent="0.25"/>
    <row r="16" spans="1:89" s="8" customFormat="1" x14ac:dyDescent="0.25"/>
    <row r="17" s="8" customFormat="1" x14ac:dyDescent="0.25"/>
    <row r="18" s="8" customFormat="1" x14ac:dyDescent="0.25"/>
    <row r="19" s="8" customFormat="1" x14ac:dyDescent="0.25"/>
    <row r="20" s="8" customFormat="1" x14ac:dyDescent="0.25"/>
    <row r="21" s="8" customFormat="1" x14ac:dyDescent="0.25"/>
    <row r="22" s="8" customFormat="1" x14ac:dyDescent="0.25"/>
    <row r="23" s="8" customFormat="1" x14ac:dyDescent="0.25"/>
    <row r="24" s="8" customFormat="1" x14ac:dyDescent="0.25"/>
    <row r="25" s="8" customFormat="1" x14ac:dyDescent="0.25"/>
    <row r="26" s="8" customFormat="1" x14ac:dyDescent="0.25"/>
    <row r="27" s="8" customFormat="1" x14ac:dyDescent="0.25"/>
    <row r="28" s="8" customFormat="1" x14ac:dyDescent="0.25"/>
    <row r="29" s="8" customFormat="1" x14ac:dyDescent="0.25"/>
    <row r="30" s="8" customFormat="1" x14ac:dyDescent="0.25"/>
    <row r="31" s="8" customFormat="1" x14ac:dyDescent="0.25"/>
    <row r="32" s="8" customFormat="1" x14ac:dyDescent="0.25"/>
    <row r="33" s="8" customFormat="1" x14ac:dyDescent="0.25"/>
    <row r="34" s="8" customFormat="1" x14ac:dyDescent="0.25"/>
    <row r="35" s="8" customFormat="1" x14ac:dyDescent="0.25"/>
    <row r="36" s="8" customFormat="1" x14ac:dyDescent="0.25"/>
    <row r="37" s="8" customFormat="1" x14ac:dyDescent="0.25"/>
    <row r="38" s="8" customFormat="1" x14ac:dyDescent="0.25"/>
    <row r="39" s="8" customFormat="1" x14ac:dyDescent="0.25"/>
    <row r="40" s="8" customFormat="1" x14ac:dyDescent="0.25"/>
    <row r="41" s="8" customFormat="1" x14ac:dyDescent="0.25"/>
    <row r="42" s="8" customFormat="1" x14ac:dyDescent="0.25"/>
    <row r="43" s="8" customFormat="1" x14ac:dyDescent="0.25"/>
    <row r="44" s="8" customFormat="1" x14ac:dyDescent="0.25"/>
    <row r="45" s="8" customFormat="1" x14ac:dyDescent="0.25"/>
    <row r="46" s="8" customFormat="1" x14ac:dyDescent="0.25"/>
    <row r="47" s="8" customFormat="1" x14ac:dyDescent="0.25"/>
    <row r="48" s="8" customFormat="1" x14ac:dyDescent="0.25"/>
    <row r="49" s="8" customFormat="1" x14ac:dyDescent="0.25"/>
    <row r="50" s="8" customFormat="1" x14ac:dyDescent="0.25"/>
    <row r="51" s="8" customFormat="1" x14ac:dyDescent="0.25"/>
    <row r="52" s="8" customFormat="1" x14ac:dyDescent="0.25"/>
    <row r="53" s="8" customFormat="1" x14ac:dyDescent="0.25"/>
    <row r="54" s="8" customFormat="1" x14ac:dyDescent="0.25"/>
    <row r="55" s="8" customFormat="1" x14ac:dyDescent="0.25"/>
    <row r="56" s="8" customFormat="1" x14ac:dyDescent="0.25"/>
    <row r="57" s="8" customFormat="1" x14ac:dyDescent="0.25"/>
    <row r="58" s="8" customFormat="1" x14ac:dyDescent="0.25"/>
    <row r="59" s="8" customFormat="1" x14ac:dyDescent="0.25"/>
    <row r="60" s="8" customFormat="1" x14ac:dyDescent="0.25"/>
    <row r="61" s="8" customFormat="1" x14ac:dyDescent="0.25"/>
    <row r="62" s="8" customFormat="1" x14ac:dyDescent="0.25"/>
    <row r="63" s="8" customFormat="1" x14ac:dyDescent="0.25"/>
    <row r="64" s="8" customFormat="1" x14ac:dyDescent="0.25"/>
    <row r="65" s="8" customFormat="1" x14ac:dyDescent="0.25"/>
    <row r="66" s="8" customFormat="1" x14ac:dyDescent="0.25"/>
    <row r="67" s="8" customFormat="1" x14ac:dyDescent="0.25"/>
    <row r="68" s="8" customFormat="1" x14ac:dyDescent="0.25"/>
    <row r="69" s="8" customFormat="1" x14ac:dyDescent="0.25"/>
    <row r="70" s="8" customFormat="1" x14ac:dyDescent="0.25"/>
    <row r="71" s="8" customFormat="1" x14ac:dyDescent="0.25"/>
    <row r="72" s="8" customFormat="1" x14ac:dyDescent="0.25"/>
    <row r="73" s="8" customFormat="1" x14ac:dyDescent="0.25"/>
    <row r="74" s="8" customFormat="1" x14ac:dyDescent="0.25"/>
    <row r="75" s="8" customFormat="1" x14ac:dyDescent="0.25"/>
    <row r="76" s="8" customFormat="1" x14ac:dyDescent="0.25"/>
    <row r="77" s="8" customFormat="1" x14ac:dyDescent="0.25"/>
    <row r="78" s="8" customFormat="1" x14ac:dyDescent="0.25"/>
    <row r="79" s="8" customFormat="1" x14ac:dyDescent="0.25"/>
    <row r="80" s="8" customFormat="1" x14ac:dyDescent="0.25"/>
    <row r="81" s="8" customFormat="1" x14ac:dyDescent="0.25"/>
    <row r="82" s="8" customFormat="1" x14ac:dyDescent="0.25"/>
    <row r="83" s="8" customFormat="1" x14ac:dyDescent="0.25"/>
    <row r="84" s="8" customFormat="1" x14ac:dyDescent="0.25"/>
    <row r="85" s="8" customFormat="1" x14ac:dyDescent="0.25"/>
    <row r="86" s="8" customFormat="1" x14ac:dyDescent="0.25"/>
    <row r="87" s="8" customFormat="1" x14ac:dyDescent="0.25"/>
    <row r="88" s="8" customFormat="1" x14ac:dyDescent="0.25"/>
    <row r="89" s="8" customFormat="1" x14ac:dyDescent="0.25"/>
    <row r="90" s="8" customFormat="1" x14ac:dyDescent="0.25"/>
    <row r="91" s="8" customFormat="1" x14ac:dyDescent="0.25"/>
    <row r="92" s="8" customFormat="1" x14ac:dyDescent="0.25"/>
    <row r="93" s="8" customFormat="1" x14ac:dyDescent="0.25"/>
    <row r="94" s="8" customFormat="1" x14ac:dyDescent="0.25"/>
    <row r="95" s="8" customFormat="1" x14ac:dyDescent="0.25"/>
    <row r="96" s="8" customFormat="1" x14ac:dyDescent="0.25"/>
    <row r="97" s="8" customFormat="1" x14ac:dyDescent="0.25"/>
    <row r="98" s="8" customFormat="1" x14ac:dyDescent="0.25"/>
    <row r="99" s="8" customFormat="1" x14ac:dyDescent="0.25"/>
    <row r="100" s="8" customFormat="1" x14ac:dyDescent="0.25"/>
    <row r="101" s="8" customFormat="1" x14ac:dyDescent="0.25"/>
    <row r="102" s="8" customFormat="1" x14ac:dyDescent="0.25"/>
    <row r="103" s="8" customFormat="1" x14ac:dyDescent="0.25"/>
    <row r="104" s="8" customFormat="1" x14ac:dyDescent="0.25"/>
    <row r="105" s="8" customFormat="1" x14ac:dyDescent="0.25"/>
    <row r="106" s="8" customFormat="1" x14ac:dyDescent="0.25"/>
    <row r="107" s="8" customFormat="1" x14ac:dyDescent="0.25"/>
    <row r="108" s="8" customFormat="1" x14ac:dyDescent="0.25"/>
    <row r="109" s="8" customFormat="1" x14ac:dyDescent="0.25"/>
    <row r="110" s="8" customFormat="1" x14ac:dyDescent="0.25"/>
    <row r="111" s="8" customFormat="1" x14ac:dyDescent="0.25"/>
    <row r="112" s="8" customFormat="1" x14ac:dyDescent="0.25"/>
    <row r="113" s="8" customFormat="1" x14ac:dyDescent="0.25"/>
    <row r="114" s="8" customFormat="1" x14ac:dyDescent="0.25"/>
    <row r="115" s="8" customFormat="1" x14ac:dyDescent="0.25"/>
    <row r="116" s="8" customFormat="1" x14ac:dyDescent="0.25"/>
    <row r="117" s="8" customFormat="1" x14ac:dyDescent="0.25"/>
    <row r="118" s="8" customFormat="1" x14ac:dyDescent="0.25"/>
    <row r="119" s="8" customFormat="1" x14ac:dyDescent="0.25"/>
    <row r="120" s="8" customFormat="1" x14ac:dyDescent="0.25"/>
    <row r="121" s="8" customFormat="1" x14ac:dyDescent="0.25"/>
    <row r="122" s="8" customFormat="1" x14ac:dyDescent="0.25"/>
    <row r="123" s="8" customFormat="1" x14ac:dyDescent="0.25"/>
    <row r="124" s="8" customFormat="1" x14ac:dyDescent="0.25"/>
    <row r="125" s="8" customFormat="1" x14ac:dyDescent="0.25"/>
    <row r="126" s="8" customFormat="1" x14ac:dyDescent="0.25"/>
    <row r="127" s="8" customFormat="1" x14ac:dyDescent="0.25"/>
    <row r="128" s="8" customFormat="1" x14ac:dyDescent="0.25"/>
    <row r="129" s="8" customFormat="1" x14ac:dyDescent="0.25"/>
    <row r="130" s="8" customFormat="1" x14ac:dyDescent="0.25"/>
    <row r="131" s="8" customFormat="1" x14ac:dyDescent="0.25"/>
    <row r="132" s="8" customFormat="1" x14ac:dyDescent="0.25"/>
    <row r="133" s="8" customFormat="1" x14ac:dyDescent="0.25"/>
    <row r="134" s="8" customFormat="1" x14ac:dyDescent="0.25"/>
    <row r="135" s="8" customFormat="1" x14ac:dyDescent="0.25"/>
    <row r="136" s="8" customFormat="1" x14ac:dyDescent="0.25"/>
    <row r="137" s="8" customFormat="1" x14ac:dyDescent="0.25"/>
    <row r="138" s="8" customFormat="1" x14ac:dyDescent="0.25"/>
    <row r="139" s="8" customFormat="1" x14ac:dyDescent="0.25"/>
    <row r="140" s="8" customFormat="1" x14ac:dyDescent="0.25"/>
    <row r="141" s="8" customFormat="1" x14ac:dyDescent="0.25"/>
    <row r="142" s="8" customFormat="1" x14ac:dyDescent="0.25"/>
    <row r="143" s="8" customFormat="1" x14ac:dyDescent="0.25"/>
    <row r="144" s="8" customFormat="1" x14ac:dyDescent="0.25"/>
    <row r="145" s="8" customFormat="1" x14ac:dyDescent="0.25"/>
    <row r="146" s="8" customFormat="1" x14ac:dyDescent="0.25"/>
    <row r="147" s="8" customFormat="1" x14ac:dyDescent="0.25"/>
    <row r="148" s="8" customFormat="1" x14ac:dyDescent="0.25"/>
    <row r="149" s="8" customFormat="1" x14ac:dyDescent="0.25"/>
    <row r="150" s="8" customFormat="1" x14ac:dyDescent="0.25"/>
    <row r="151" s="8" customFormat="1" x14ac:dyDescent="0.25"/>
    <row r="152" s="8" customFormat="1" x14ac:dyDescent="0.25"/>
    <row r="153" s="8" customFormat="1" x14ac:dyDescent="0.25"/>
    <row r="154" s="8" customFormat="1" x14ac:dyDescent="0.25"/>
    <row r="155" s="8" customFormat="1" x14ac:dyDescent="0.25"/>
    <row r="156" s="8" customFormat="1" x14ac:dyDescent="0.25"/>
    <row r="157" s="8" customFormat="1" x14ac:dyDescent="0.25"/>
    <row r="158" s="8" customFormat="1" x14ac:dyDescent="0.25"/>
    <row r="159" s="8" customFormat="1" x14ac:dyDescent="0.25"/>
    <row r="160" s="8" customFormat="1" x14ac:dyDescent="0.25"/>
    <row r="161" s="8" customFormat="1" x14ac:dyDescent="0.25"/>
    <row r="162" s="8" customFormat="1" x14ac:dyDescent="0.25"/>
    <row r="163" s="8" customFormat="1" x14ac:dyDescent="0.25"/>
    <row r="164" s="8" customFormat="1" x14ac:dyDescent="0.25"/>
    <row r="165" s="8" customFormat="1" x14ac:dyDescent="0.25"/>
    <row r="166" s="8" customFormat="1" x14ac:dyDescent="0.25"/>
    <row r="167" s="8" customFormat="1" x14ac:dyDescent="0.25"/>
    <row r="168" s="8" customFormat="1" x14ac:dyDescent="0.25"/>
    <row r="169" s="8" customFormat="1" x14ac:dyDescent="0.25"/>
    <row r="170" s="8" customFormat="1" x14ac:dyDescent="0.25"/>
    <row r="171" s="8" customFormat="1" x14ac:dyDescent="0.25"/>
    <row r="172" s="8" customFormat="1" x14ac:dyDescent="0.25"/>
    <row r="173" s="8" customFormat="1" x14ac:dyDescent="0.25"/>
    <row r="174" s="8" customFormat="1" x14ac:dyDescent="0.25"/>
    <row r="175" s="8" customFormat="1" x14ac:dyDescent="0.25"/>
    <row r="176" s="8" customFormat="1" x14ac:dyDescent="0.25"/>
    <row r="177" s="8" customFormat="1" x14ac:dyDescent="0.25"/>
    <row r="178" s="8" customFormat="1" x14ac:dyDescent="0.25"/>
    <row r="179" s="8" customFormat="1" x14ac:dyDescent="0.25"/>
    <row r="180" s="8" customFormat="1" x14ac:dyDescent="0.25"/>
    <row r="181" s="8" customFormat="1" x14ac:dyDescent="0.25"/>
    <row r="182" s="8" customFormat="1" x14ac:dyDescent="0.25"/>
    <row r="183" s="8" customFormat="1" x14ac:dyDescent="0.25"/>
    <row r="184" s="8" customFormat="1" x14ac:dyDescent="0.25"/>
    <row r="185" s="8" customFormat="1" x14ac:dyDescent="0.25"/>
    <row r="186" s="8" customFormat="1" x14ac:dyDescent="0.25"/>
    <row r="187" s="8" customFormat="1" x14ac:dyDescent="0.25"/>
    <row r="188" s="8" customFormat="1" x14ac:dyDescent="0.25"/>
    <row r="189" s="8" customFormat="1" x14ac:dyDescent="0.25"/>
    <row r="190" s="8" customFormat="1" x14ac:dyDescent="0.25"/>
    <row r="191" s="8" customFormat="1" x14ac:dyDescent="0.25"/>
    <row r="192" s="8" customFormat="1" x14ac:dyDescent="0.25"/>
    <row r="193" s="8" customFormat="1" x14ac:dyDescent="0.25"/>
    <row r="194" s="8" customFormat="1" x14ac:dyDescent="0.25"/>
    <row r="195" s="8" customFormat="1" x14ac:dyDescent="0.25"/>
    <row r="196" s="8" customFormat="1" x14ac:dyDescent="0.25"/>
    <row r="197" s="8" customFormat="1" x14ac:dyDescent="0.25"/>
    <row r="198" s="8" customFormat="1" x14ac:dyDescent="0.25"/>
    <row r="199" s="8" customFormat="1" x14ac:dyDescent="0.25"/>
    <row r="200" s="8" customFormat="1" x14ac:dyDescent="0.25"/>
    <row r="201" s="8" customFormat="1" x14ac:dyDescent="0.25"/>
    <row r="202" s="8" customFormat="1" x14ac:dyDescent="0.25"/>
    <row r="203" s="8" customFormat="1" x14ac:dyDescent="0.25"/>
    <row r="204" s="8" customFormat="1" x14ac:dyDescent="0.25"/>
    <row r="205" s="8" customFormat="1" x14ac:dyDescent="0.25"/>
    <row r="206" s="8" customFormat="1" x14ac:dyDescent="0.25"/>
    <row r="207" s="8" customFormat="1" x14ac:dyDescent="0.25"/>
    <row r="208" s="8" customFormat="1" x14ac:dyDescent="0.25"/>
    <row r="209" s="8" customFormat="1" x14ac:dyDescent="0.25"/>
    <row r="210" s="8" customFormat="1" x14ac:dyDescent="0.25"/>
    <row r="211" s="8" customFormat="1" x14ac:dyDescent="0.25"/>
    <row r="212" s="8" customFormat="1" x14ac:dyDescent="0.25"/>
    <row r="213" s="8" customFormat="1" x14ac:dyDescent="0.25"/>
    <row r="214" s="8" customFormat="1" x14ac:dyDescent="0.25"/>
    <row r="215" s="8" customFormat="1" x14ac:dyDescent="0.25"/>
    <row r="216" s="8" customFormat="1" x14ac:dyDescent="0.25"/>
    <row r="217" s="8" customFormat="1" x14ac:dyDescent="0.25"/>
    <row r="218" s="8" customFormat="1" x14ac:dyDescent="0.25"/>
    <row r="219" s="8" customFormat="1" x14ac:dyDescent="0.25"/>
    <row r="220" s="8" customFormat="1" x14ac:dyDescent="0.25"/>
    <row r="221" s="8" customFormat="1" x14ac:dyDescent="0.25"/>
    <row r="222" s="8" customFormat="1" x14ac:dyDescent="0.25"/>
    <row r="223" s="8" customFormat="1" x14ac:dyDescent="0.25"/>
    <row r="224" s="8" customFormat="1" x14ac:dyDescent="0.25"/>
    <row r="225" s="8" customFormat="1" x14ac:dyDescent="0.25"/>
    <row r="226" s="8" customFormat="1" x14ac:dyDescent="0.25"/>
    <row r="227" s="8" customFormat="1" x14ac:dyDescent="0.25"/>
    <row r="228" s="8" customFormat="1" x14ac:dyDescent="0.25"/>
    <row r="229" s="8" customFormat="1" x14ac:dyDescent="0.25"/>
    <row r="230" s="8" customFormat="1" x14ac:dyDescent="0.25"/>
    <row r="231" s="8" customFormat="1" x14ac:dyDescent="0.25"/>
    <row r="232" s="8" customFormat="1" x14ac:dyDescent="0.25"/>
    <row r="233" s="8" customFormat="1" x14ac:dyDescent="0.25"/>
    <row r="234" s="8" customFormat="1" x14ac:dyDescent="0.25"/>
    <row r="235" s="8" customFormat="1" x14ac:dyDescent="0.25"/>
    <row r="236" s="8" customFormat="1" x14ac:dyDescent="0.25"/>
    <row r="237" s="8" customFormat="1" x14ac:dyDescent="0.25"/>
    <row r="238" s="8" customFormat="1" x14ac:dyDescent="0.25"/>
    <row r="239" s="8" customFormat="1" x14ac:dyDescent="0.25"/>
    <row r="240" s="8" customFormat="1" x14ac:dyDescent="0.25"/>
    <row r="241" s="8" customFormat="1" x14ac:dyDescent="0.25"/>
    <row r="242" s="8" customFormat="1" x14ac:dyDescent="0.25"/>
    <row r="243" s="8" customFormat="1" x14ac:dyDescent="0.25"/>
    <row r="244" s="8" customFormat="1" x14ac:dyDescent="0.25"/>
    <row r="245" s="8" customFormat="1" x14ac:dyDescent="0.25"/>
    <row r="246" s="8" customFormat="1" x14ac:dyDescent="0.25"/>
    <row r="247" s="8" customFormat="1" x14ac:dyDescent="0.25"/>
    <row r="248" s="8" customFormat="1" x14ac:dyDescent="0.25"/>
    <row r="249" s="8" customFormat="1" x14ac:dyDescent="0.25"/>
    <row r="250" s="8" customFormat="1" x14ac:dyDescent="0.25"/>
    <row r="251" s="8" customFormat="1" x14ac:dyDescent="0.25"/>
    <row r="252" s="8" customFormat="1" x14ac:dyDescent="0.25"/>
    <row r="253" s="8" customFormat="1" x14ac:dyDescent="0.25"/>
    <row r="254" s="8" customFormat="1" x14ac:dyDescent="0.25"/>
    <row r="255" s="8" customFormat="1" x14ac:dyDescent="0.25"/>
    <row r="256" s="8" customFormat="1" x14ac:dyDescent="0.25"/>
    <row r="257" s="8" customFormat="1" x14ac:dyDescent="0.25"/>
    <row r="258" s="8" customFormat="1" x14ac:dyDescent="0.25"/>
    <row r="259" s="8" customFormat="1" x14ac:dyDescent="0.25"/>
    <row r="260" s="8" customFormat="1" x14ac:dyDescent="0.25"/>
    <row r="261" s="8" customFormat="1" x14ac:dyDescent="0.25"/>
    <row r="262" s="8" customFormat="1" x14ac:dyDescent="0.25"/>
    <row r="263" s="8" customFormat="1" x14ac:dyDescent="0.25"/>
    <row r="264" s="8" customFormat="1" x14ac:dyDescent="0.25"/>
    <row r="265" s="8" customFormat="1" x14ac:dyDescent="0.25"/>
    <row r="266" s="8" customFormat="1" x14ac:dyDescent="0.25"/>
    <row r="267" s="8" customFormat="1" x14ac:dyDescent="0.25"/>
    <row r="268" s="8" customFormat="1" x14ac:dyDescent="0.25"/>
    <row r="269" s="8" customFormat="1" x14ac:dyDescent="0.25"/>
    <row r="270" s="8" customFormat="1" x14ac:dyDescent="0.25"/>
    <row r="271" s="8" customFormat="1" x14ac:dyDescent="0.25"/>
    <row r="272" s="8" customFormat="1" x14ac:dyDescent="0.25"/>
    <row r="273" s="8" customFormat="1" x14ac:dyDescent="0.25"/>
    <row r="274" s="8" customFormat="1" x14ac:dyDescent="0.25"/>
    <row r="275" s="8" customFormat="1" x14ac:dyDescent="0.25"/>
    <row r="276" s="8" customFormat="1" x14ac:dyDescent="0.25"/>
    <row r="277" s="8" customFormat="1" x14ac:dyDescent="0.25"/>
    <row r="278" s="8" customFormat="1" x14ac:dyDescent="0.25"/>
    <row r="279" s="8" customFormat="1" x14ac:dyDescent="0.25"/>
    <row r="280" s="8" customFormat="1" x14ac:dyDescent="0.25"/>
    <row r="281" s="8" customFormat="1" x14ac:dyDescent="0.25"/>
    <row r="282" s="8" customFormat="1" x14ac:dyDescent="0.25"/>
    <row r="283" s="8" customFormat="1" x14ac:dyDescent="0.25"/>
    <row r="284" s="8" customFormat="1" x14ac:dyDescent="0.25"/>
    <row r="285" s="8" customFormat="1" x14ac:dyDescent="0.25"/>
    <row r="286" s="8" customFormat="1" x14ac:dyDescent="0.25"/>
    <row r="287" s="8" customFormat="1" x14ac:dyDescent="0.25"/>
    <row r="288" s="8" customFormat="1" x14ac:dyDescent="0.25"/>
    <row r="289" s="8" customFormat="1" x14ac:dyDescent="0.25"/>
    <row r="290" s="8" customFormat="1" x14ac:dyDescent="0.25"/>
    <row r="291" s="8" customFormat="1" x14ac:dyDescent="0.25"/>
    <row r="292" s="8" customFormat="1" x14ac:dyDescent="0.25"/>
    <row r="293" s="8" customFormat="1" x14ac:dyDescent="0.25"/>
    <row r="294" s="8" customFormat="1" x14ac:dyDescent="0.25"/>
    <row r="295" s="8" customFormat="1" x14ac:dyDescent="0.25"/>
    <row r="296" s="8" customFormat="1" x14ac:dyDescent="0.25"/>
    <row r="297" s="8" customFormat="1" x14ac:dyDescent="0.25"/>
    <row r="298" s="8" customFormat="1" x14ac:dyDescent="0.25"/>
    <row r="299" s="8" customFormat="1" x14ac:dyDescent="0.25"/>
    <row r="300" s="8" customFormat="1" x14ac:dyDescent="0.25"/>
    <row r="301" s="8" customFormat="1" x14ac:dyDescent="0.25"/>
    <row r="302" s="8" customFormat="1" x14ac:dyDescent="0.25"/>
    <row r="303" s="8" customFormat="1" x14ac:dyDescent="0.25"/>
    <row r="304" s="8" customFormat="1" x14ac:dyDescent="0.25"/>
    <row r="305" s="8" customFormat="1" x14ac:dyDescent="0.25"/>
    <row r="306" s="8" customFormat="1" x14ac:dyDescent="0.25"/>
    <row r="307" s="8" customFormat="1" x14ac:dyDescent="0.25"/>
    <row r="308" s="8" customFormat="1" x14ac:dyDescent="0.25"/>
    <row r="309" s="8" customFormat="1" x14ac:dyDescent="0.25"/>
    <row r="310" s="8" customFormat="1" x14ac:dyDescent="0.25"/>
    <row r="311" s="8" customFormat="1" x14ac:dyDescent="0.25"/>
    <row r="312" s="8" customFormat="1" x14ac:dyDescent="0.25"/>
    <row r="313" s="8" customFormat="1" x14ac:dyDescent="0.25"/>
    <row r="314" s="8" customFormat="1" x14ac:dyDescent="0.25"/>
    <row r="315" s="8" customFormat="1" x14ac:dyDescent="0.25"/>
    <row r="316" s="8" customFormat="1" x14ac:dyDescent="0.25"/>
    <row r="317" s="8" customFormat="1" x14ac:dyDescent="0.25"/>
    <row r="318" s="8" customFormat="1" x14ac:dyDescent="0.25"/>
    <row r="319" s="8" customFormat="1" x14ac:dyDescent="0.25"/>
    <row r="320" s="8" customFormat="1" x14ac:dyDescent="0.25"/>
    <row r="321" s="8" customFormat="1" x14ac:dyDescent="0.25"/>
    <row r="322" s="8" customFormat="1" x14ac:dyDescent="0.25"/>
    <row r="323" s="8" customFormat="1" x14ac:dyDescent="0.25"/>
    <row r="324" s="8" customFormat="1" x14ac:dyDescent="0.25"/>
    <row r="325" s="8" customFormat="1" x14ac:dyDescent="0.25"/>
    <row r="326" s="8" customFormat="1" x14ac:dyDescent="0.25"/>
    <row r="327" s="8" customFormat="1" x14ac:dyDescent="0.25"/>
    <row r="328" s="8" customFormat="1" x14ac:dyDescent="0.25"/>
    <row r="329" s="8" customFormat="1" x14ac:dyDescent="0.25"/>
    <row r="330" s="8" customFormat="1" x14ac:dyDescent="0.25"/>
    <row r="331" s="8" customFormat="1" x14ac:dyDescent="0.25"/>
    <row r="332" s="8" customFormat="1" x14ac:dyDescent="0.25"/>
    <row r="333" s="8" customFormat="1" x14ac:dyDescent="0.25"/>
    <row r="334" s="8" customFormat="1" x14ac:dyDescent="0.25"/>
    <row r="335" s="8" customFormat="1" x14ac:dyDescent="0.25"/>
    <row r="336" s="8" customFormat="1" x14ac:dyDescent="0.25"/>
    <row r="337" s="8" customFormat="1" x14ac:dyDescent="0.25"/>
    <row r="338" s="8" customFormat="1" x14ac:dyDescent="0.25"/>
    <row r="339" s="8" customFormat="1" x14ac:dyDescent="0.25"/>
    <row r="340" s="8" customFormat="1" x14ac:dyDescent="0.25"/>
    <row r="341" s="8" customFormat="1" x14ac:dyDescent="0.25"/>
    <row r="342" s="8" customFormat="1" x14ac:dyDescent="0.25"/>
    <row r="343" s="8" customFormat="1" x14ac:dyDescent="0.25"/>
    <row r="344" s="8" customFormat="1" x14ac:dyDescent="0.25"/>
    <row r="345" s="8" customFormat="1" x14ac:dyDescent="0.25"/>
    <row r="346" s="8" customFormat="1" x14ac:dyDescent="0.25"/>
    <row r="347" s="8" customFormat="1" x14ac:dyDescent="0.25"/>
    <row r="348" s="8" customFormat="1" x14ac:dyDescent="0.25"/>
    <row r="349" s="8" customFormat="1" x14ac:dyDescent="0.25"/>
    <row r="350" s="8" customFormat="1" x14ac:dyDescent="0.25"/>
    <row r="351" s="8" customFormat="1" x14ac:dyDescent="0.25"/>
    <row r="352" s="8" customFormat="1" x14ac:dyDescent="0.25"/>
    <row r="353" s="8" customFormat="1" x14ac:dyDescent="0.25"/>
    <row r="354" s="8" customFormat="1" x14ac:dyDescent="0.25"/>
    <row r="355" s="8" customFormat="1" x14ac:dyDescent="0.25"/>
    <row r="356" s="8" customFormat="1" x14ac:dyDescent="0.25"/>
    <row r="357" s="8" customFormat="1" x14ac:dyDescent="0.25"/>
    <row r="358" s="8" customFormat="1" x14ac:dyDescent="0.25"/>
    <row r="359" s="8" customFormat="1" x14ac:dyDescent="0.25"/>
    <row r="360" s="8" customFormat="1" x14ac:dyDescent="0.25"/>
    <row r="361" s="8" customFormat="1" x14ac:dyDescent="0.25"/>
    <row r="362" s="8" customFormat="1" x14ac:dyDescent="0.25"/>
    <row r="363" s="8" customFormat="1" x14ac:dyDescent="0.25"/>
    <row r="364" s="8" customFormat="1" x14ac:dyDescent="0.25"/>
    <row r="365" s="8" customFormat="1" x14ac:dyDescent="0.25"/>
    <row r="366" s="8" customFormat="1" x14ac:dyDescent="0.25"/>
    <row r="367" s="8" customFormat="1" x14ac:dyDescent="0.25"/>
    <row r="368" s="8" customFormat="1" x14ac:dyDescent="0.25"/>
    <row r="369" s="8" customFormat="1" x14ac:dyDescent="0.25"/>
    <row r="370" s="8" customFormat="1" x14ac:dyDescent="0.25"/>
    <row r="371" s="8" customFormat="1" x14ac:dyDescent="0.25"/>
    <row r="372" s="8" customFormat="1" x14ac:dyDescent="0.25"/>
    <row r="373" s="8" customFormat="1" x14ac:dyDescent="0.25"/>
    <row r="374" s="8" customFormat="1" x14ac:dyDescent="0.25"/>
    <row r="375" s="8" customFormat="1" x14ac:dyDescent="0.25"/>
    <row r="376" s="8" customFormat="1" x14ac:dyDescent="0.25"/>
    <row r="377" s="8" customFormat="1" x14ac:dyDescent="0.25"/>
    <row r="378" s="8" customFormat="1" x14ac:dyDescent="0.25"/>
    <row r="379" s="8" customFormat="1" x14ac:dyDescent="0.25"/>
    <row r="380" s="8" customFormat="1" x14ac:dyDescent="0.25"/>
    <row r="381" s="8" customFormat="1" x14ac:dyDescent="0.25"/>
    <row r="382" s="8" customFormat="1" x14ac:dyDescent="0.25"/>
    <row r="383" s="8" customFormat="1" x14ac:dyDescent="0.25"/>
    <row r="384" s="8" customFormat="1" x14ac:dyDescent="0.25"/>
    <row r="385" s="8" customFormat="1" x14ac:dyDescent="0.25"/>
    <row r="386" s="8" customFormat="1" x14ac:dyDescent="0.25"/>
    <row r="387" s="8" customFormat="1" x14ac:dyDescent="0.25"/>
    <row r="388" s="8" customFormat="1" x14ac:dyDescent="0.25"/>
    <row r="389" s="8" customFormat="1" x14ac:dyDescent="0.25"/>
    <row r="390" s="8" customFormat="1" x14ac:dyDescent="0.25"/>
    <row r="391" s="8" customFormat="1" x14ac:dyDescent="0.25"/>
    <row r="392" s="8" customFormat="1" x14ac:dyDescent="0.25"/>
    <row r="393" s="8" customFormat="1" x14ac:dyDescent="0.25"/>
    <row r="394" s="8" customFormat="1" x14ac:dyDescent="0.25"/>
    <row r="395" s="8" customFormat="1" x14ac:dyDescent="0.25"/>
    <row r="396" s="8" customFormat="1" x14ac:dyDescent="0.25"/>
    <row r="397" s="8" customFormat="1" x14ac:dyDescent="0.25"/>
    <row r="398" s="8" customFormat="1" x14ac:dyDescent="0.25"/>
    <row r="399" s="8" customFormat="1" x14ac:dyDescent="0.25"/>
    <row r="400" s="8" customFormat="1" x14ac:dyDescent="0.25"/>
    <row r="401" s="8" customFormat="1" x14ac:dyDescent="0.25"/>
    <row r="402" s="8" customFormat="1" x14ac:dyDescent="0.25"/>
    <row r="403" s="8" customFormat="1" x14ac:dyDescent="0.25"/>
    <row r="404" s="8" customFormat="1" x14ac:dyDescent="0.25"/>
    <row r="405" s="8" customFormat="1" x14ac:dyDescent="0.25"/>
    <row r="406" s="8" customFormat="1" x14ac:dyDescent="0.25"/>
    <row r="407" s="8" customFormat="1" x14ac:dyDescent="0.25"/>
    <row r="408" s="8" customFormat="1" x14ac:dyDescent="0.25"/>
    <row r="409" s="8" customFormat="1" x14ac:dyDescent="0.25"/>
    <row r="410" s="8" customFormat="1" x14ac:dyDescent="0.25"/>
    <row r="411" s="8" customFormat="1" x14ac:dyDescent="0.25"/>
    <row r="412" s="8" customFormat="1" x14ac:dyDescent="0.25"/>
    <row r="413" s="8" customFormat="1" x14ac:dyDescent="0.25"/>
    <row r="414" s="8" customFormat="1" x14ac:dyDescent="0.25"/>
    <row r="415" s="8" customFormat="1" x14ac:dyDescent="0.25"/>
    <row r="416" s="8" customFormat="1" x14ac:dyDescent="0.25"/>
    <row r="417" s="8" customFormat="1" x14ac:dyDescent="0.25"/>
    <row r="418" s="8" customFormat="1" x14ac:dyDescent="0.25"/>
    <row r="419" s="8" customFormat="1" x14ac:dyDescent="0.25"/>
    <row r="420" s="8" customFormat="1" x14ac:dyDescent="0.25"/>
    <row r="421" s="8" customFormat="1" x14ac:dyDescent="0.25"/>
    <row r="422" s="8" customFormat="1" x14ac:dyDescent="0.25"/>
    <row r="423" s="8" customFormat="1" x14ac:dyDescent="0.25"/>
    <row r="424" s="8" customFormat="1" x14ac:dyDescent="0.25"/>
    <row r="425" s="8" customFormat="1" x14ac:dyDescent="0.25"/>
    <row r="426" s="8" customFormat="1" x14ac:dyDescent="0.25"/>
    <row r="427" s="8" customFormat="1" x14ac:dyDescent="0.25"/>
    <row r="428" s="8" customFormat="1" x14ac:dyDescent="0.25"/>
    <row r="429" s="8" customFormat="1" x14ac:dyDescent="0.25"/>
    <row r="430" s="8" customFormat="1" x14ac:dyDescent="0.25"/>
    <row r="431" s="8" customFormat="1" x14ac:dyDescent="0.25"/>
    <row r="432" s="8" customFormat="1" x14ac:dyDescent="0.25"/>
    <row r="433" s="8" customFormat="1" x14ac:dyDescent="0.25"/>
    <row r="434" s="8" customFormat="1" x14ac:dyDescent="0.25"/>
    <row r="435" s="8" customFormat="1" x14ac:dyDescent="0.25"/>
    <row r="436" s="8" customFormat="1" x14ac:dyDescent="0.25"/>
    <row r="437" s="8" customFormat="1" x14ac:dyDescent="0.25"/>
    <row r="438" s="8" customFormat="1" x14ac:dyDescent="0.25"/>
    <row r="439" s="8" customFormat="1" x14ac:dyDescent="0.25"/>
    <row r="440" s="8" customFormat="1" x14ac:dyDescent="0.25"/>
    <row r="441" s="8" customFormat="1" x14ac:dyDescent="0.25"/>
    <row r="442" s="8" customFormat="1" x14ac:dyDescent="0.25"/>
    <row r="443" s="8" customFormat="1" x14ac:dyDescent="0.25"/>
    <row r="444" s="8" customFormat="1" x14ac:dyDescent="0.25"/>
    <row r="445" s="8" customFormat="1" x14ac:dyDescent="0.25"/>
    <row r="446" s="8" customFormat="1" x14ac:dyDescent="0.25"/>
    <row r="447" s="8" customFormat="1" x14ac:dyDescent="0.25"/>
    <row r="448" s="8" customFormat="1" x14ac:dyDescent="0.25"/>
    <row r="449" s="8" customFormat="1" x14ac:dyDescent="0.25"/>
    <row r="450" s="8" customFormat="1" x14ac:dyDescent="0.25"/>
    <row r="451" s="8" customFormat="1" x14ac:dyDescent="0.25"/>
    <row r="452" s="8" customFormat="1" x14ac:dyDescent="0.25"/>
    <row r="453" s="8" customFormat="1" x14ac:dyDescent="0.25"/>
    <row r="454" s="8" customFormat="1" x14ac:dyDescent="0.25"/>
    <row r="455" s="8" customFormat="1" x14ac:dyDescent="0.25"/>
    <row r="456" s="8" customFormat="1" x14ac:dyDescent="0.25"/>
    <row r="457" s="8" customFormat="1" x14ac:dyDescent="0.25"/>
    <row r="458" s="8" customFormat="1" x14ac:dyDescent="0.25"/>
    <row r="459" s="8" customFormat="1" x14ac:dyDescent="0.25"/>
    <row r="460" s="8" customFormat="1" x14ac:dyDescent="0.25"/>
    <row r="461" s="8" customFormat="1" x14ac:dyDescent="0.25"/>
    <row r="462" s="8" customFormat="1" x14ac:dyDescent="0.25"/>
    <row r="463" s="8" customFormat="1" x14ac:dyDescent="0.25"/>
    <row r="464" s="8" customFormat="1" x14ac:dyDescent="0.25"/>
    <row r="465" s="8" customFormat="1" x14ac:dyDescent="0.25"/>
    <row r="466" s="8" customFormat="1" x14ac:dyDescent="0.25"/>
    <row r="467" s="8" customFormat="1" x14ac:dyDescent="0.25"/>
    <row r="468" s="8" customFormat="1" x14ac:dyDescent="0.25"/>
    <row r="469" s="8" customFormat="1" x14ac:dyDescent="0.25"/>
    <row r="470" s="8" customFormat="1" x14ac:dyDescent="0.25"/>
    <row r="471" s="8" customFormat="1" x14ac:dyDescent="0.25"/>
    <row r="472" s="8" customFormat="1" x14ac:dyDescent="0.25"/>
    <row r="473" s="8" customFormat="1" x14ac:dyDescent="0.25"/>
    <row r="474" s="8" customFormat="1" x14ac:dyDescent="0.25"/>
    <row r="475" s="8" customFormat="1" x14ac:dyDescent="0.25"/>
    <row r="476" s="8" customFormat="1" x14ac:dyDescent="0.25"/>
    <row r="477" s="8" customFormat="1" x14ac:dyDescent="0.25"/>
    <row r="478" s="8" customFormat="1" x14ac:dyDescent="0.25"/>
    <row r="479" s="8" customFormat="1" x14ac:dyDescent="0.25"/>
    <row r="480" s="8" customFormat="1" x14ac:dyDescent="0.25"/>
    <row r="481" s="8" customFormat="1" x14ac:dyDescent="0.25"/>
    <row r="482" s="8" customFormat="1" x14ac:dyDescent="0.25"/>
    <row r="483" s="8" customFormat="1" x14ac:dyDescent="0.25"/>
    <row r="484" s="8" customFormat="1" x14ac:dyDescent="0.25"/>
    <row r="485" s="8" customFormat="1" x14ac:dyDescent="0.25"/>
    <row r="486" s="8" customFormat="1" x14ac:dyDescent="0.25"/>
    <row r="487" s="8" customFormat="1" x14ac:dyDescent="0.25"/>
    <row r="488" s="8" customFormat="1" x14ac:dyDescent="0.25"/>
    <row r="489" s="8" customFormat="1" x14ac:dyDescent="0.25"/>
    <row r="490" s="8" customFormat="1" x14ac:dyDescent="0.25"/>
    <row r="491" s="8" customFormat="1" x14ac:dyDescent="0.25"/>
    <row r="492" s="8" customFormat="1" x14ac:dyDescent="0.25"/>
    <row r="493" s="8" customFormat="1" x14ac:dyDescent="0.25"/>
    <row r="494" s="8" customFormat="1" x14ac:dyDescent="0.25"/>
    <row r="495" s="8" customFormat="1" x14ac:dyDescent="0.25"/>
    <row r="496" s="8" customFormat="1" x14ac:dyDescent="0.25"/>
    <row r="497" s="8" customFormat="1" x14ac:dyDescent="0.25"/>
    <row r="498" s="8" customFormat="1" x14ac:dyDescent="0.25"/>
    <row r="499" s="8" customFormat="1" x14ac:dyDescent="0.25"/>
    <row r="500" s="8" customFormat="1" x14ac:dyDescent="0.25"/>
    <row r="501" s="8" customFormat="1" x14ac:dyDescent="0.25"/>
    <row r="502" s="8" customFormat="1" x14ac:dyDescent="0.25"/>
    <row r="503" s="8" customFormat="1" x14ac:dyDescent="0.25"/>
    <row r="504" s="8" customFormat="1" x14ac:dyDescent="0.25"/>
    <row r="505" s="8" customFormat="1" x14ac:dyDescent="0.25"/>
    <row r="506" s="8" customFormat="1" x14ac:dyDescent="0.25"/>
    <row r="507" s="8" customFormat="1" x14ac:dyDescent="0.25"/>
    <row r="508" s="8" customFormat="1" x14ac:dyDescent="0.25"/>
    <row r="509" s="8" customFormat="1" x14ac:dyDescent="0.25"/>
    <row r="510" s="8" customFormat="1" x14ac:dyDescent="0.25"/>
    <row r="511" s="8" customFormat="1" x14ac:dyDescent="0.25"/>
    <row r="512" s="8" customFormat="1" x14ac:dyDescent="0.25"/>
    <row r="513" s="8" customFormat="1" x14ac:dyDescent="0.25"/>
    <row r="514" s="8" customFormat="1" x14ac:dyDescent="0.25"/>
    <row r="515" s="8" customFormat="1" x14ac:dyDescent="0.25"/>
    <row r="516" s="8" customFormat="1" x14ac:dyDescent="0.25"/>
    <row r="517" s="8" customFormat="1" x14ac:dyDescent="0.25"/>
    <row r="518" s="8" customFormat="1" x14ac:dyDescent="0.25"/>
    <row r="519" s="8" customFormat="1" x14ac:dyDescent="0.25"/>
    <row r="520" s="8" customFormat="1" x14ac:dyDescent="0.25"/>
    <row r="521" s="8" customFormat="1" x14ac:dyDescent="0.25"/>
    <row r="522" s="8" customFormat="1" x14ac:dyDescent="0.25"/>
    <row r="523" s="8" customFormat="1" x14ac:dyDescent="0.25"/>
    <row r="524" s="8" customFormat="1" x14ac:dyDescent="0.25"/>
    <row r="525" s="8" customFormat="1" x14ac:dyDescent="0.25"/>
    <row r="526" s="8" customFormat="1" x14ac:dyDescent="0.25"/>
    <row r="527" s="8" customFormat="1" x14ac:dyDescent="0.25"/>
    <row r="528" s="8" customFormat="1" x14ac:dyDescent="0.25"/>
    <row r="529" s="8" customFormat="1" x14ac:dyDescent="0.25"/>
    <row r="530" s="8" customFormat="1" x14ac:dyDescent="0.25"/>
    <row r="531" s="8" customFormat="1" x14ac:dyDescent="0.25"/>
    <row r="532" s="8" customFormat="1" x14ac:dyDescent="0.25"/>
    <row r="533" s="8" customFormat="1" x14ac:dyDescent="0.25"/>
    <row r="534" s="8" customFormat="1" x14ac:dyDescent="0.25"/>
    <row r="535" s="8" customFormat="1" x14ac:dyDescent="0.25"/>
    <row r="536" s="8" customFormat="1" x14ac:dyDescent="0.25"/>
    <row r="537" s="8" customFormat="1" x14ac:dyDescent="0.25"/>
    <row r="538" s="8" customFormat="1" x14ac:dyDescent="0.25"/>
    <row r="539" s="8" customFormat="1" x14ac:dyDescent="0.25"/>
    <row r="540" s="8" customFormat="1" x14ac:dyDescent="0.25"/>
    <row r="541" s="8" customFormat="1" x14ac:dyDescent="0.25"/>
    <row r="542" s="8" customFormat="1" x14ac:dyDescent="0.25"/>
    <row r="543" s="8" customFormat="1" x14ac:dyDescent="0.25"/>
    <row r="544" s="8" customFormat="1" x14ac:dyDescent="0.25"/>
    <row r="545" s="8" customFormat="1" x14ac:dyDescent="0.25"/>
    <row r="546" s="8" customFormat="1" x14ac:dyDescent="0.25"/>
    <row r="547" s="8" customFormat="1" x14ac:dyDescent="0.25"/>
    <row r="548" s="8" customFormat="1" x14ac:dyDescent="0.25"/>
    <row r="549" s="8" customFormat="1" x14ac:dyDescent="0.25"/>
    <row r="550" s="8" customFormat="1" x14ac:dyDescent="0.25"/>
    <row r="551" s="8" customFormat="1" x14ac:dyDescent="0.25"/>
    <row r="552" s="8" customFormat="1" x14ac:dyDescent="0.25"/>
    <row r="553" s="8" customFormat="1" x14ac:dyDescent="0.25"/>
    <row r="554" s="8" customFormat="1" x14ac:dyDescent="0.25"/>
    <row r="555" s="8" customFormat="1" x14ac:dyDescent="0.25"/>
    <row r="556" s="8" customFormat="1" x14ac:dyDescent="0.25"/>
    <row r="557" s="8" customFormat="1" x14ac:dyDescent="0.25"/>
    <row r="558" s="8" customFormat="1" x14ac:dyDescent="0.25"/>
    <row r="559" s="8" customFormat="1" x14ac:dyDescent="0.25"/>
    <row r="560" s="8" customFormat="1" x14ac:dyDescent="0.25"/>
    <row r="561" s="8" customFormat="1" x14ac:dyDescent="0.25"/>
    <row r="562" s="8" customFormat="1" x14ac:dyDescent="0.25"/>
    <row r="563" s="8" customFormat="1" x14ac:dyDescent="0.25"/>
    <row r="564" s="8" customFormat="1" x14ac:dyDescent="0.25"/>
    <row r="565" s="8" customFormat="1" x14ac:dyDescent="0.25"/>
    <row r="566" s="8" customFormat="1" x14ac:dyDescent="0.25"/>
    <row r="567" s="8" customFormat="1" x14ac:dyDescent="0.25"/>
    <row r="568" s="8" customFormat="1" x14ac:dyDescent="0.25"/>
    <row r="569" s="8" customFormat="1" x14ac:dyDescent="0.25"/>
    <row r="570" s="8" customFormat="1" x14ac:dyDescent="0.25"/>
    <row r="571" s="8" customFormat="1" x14ac:dyDescent="0.25"/>
    <row r="572" s="8" customFormat="1" x14ac:dyDescent="0.25"/>
    <row r="573" s="8" customFormat="1" x14ac:dyDescent="0.25"/>
    <row r="574" s="8" customFormat="1" x14ac:dyDescent="0.25"/>
    <row r="575" s="8" customFormat="1" x14ac:dyDescent="0.25"/>
    <row r="576" s="8" customFormat="1" x14ac:dyDescent="0.25"/>
    <row r="577" s="8" customFormat="1" x14ac:dyDescent="0.25"/>
    <row r="578" s="8" customFormat="1" x14ac:dyDescent="0.25"/>
    <row r="579" s="8" customFormat="1" x14ac:dyDescent="0.25"/>
    <row r="580" s="8" customFormat="1" x14ac:dyDescent="0.25"/>
    <row r="581" s="8" customFormat="1" x14ac:dyDescent="0.25"/>
    <row r="582" s="8" customFormat="1" x14ac:dyDescent="0.25"/>
    <row r="583" s="8" customFormat="1" x14ac:dyDescent="0.25"/>
    <row r="584" s="8" customFormat="1" x14ac:dyDescent="0.25"/>
    <row r="585" s="8" customFormat="1" x14ac:dyDescent="0.25"/>
    <row r="586" s="8" customFormat="1" x14ac:dyDescent="0.25"/>
    <row r="587" s="8" customFormat="1" x14ac:dyDescent="0.25"/>
    <row r="588" s="8" customFormat="1" x14ac:dyDescent="0.25"/>
    <row r="589" s="8" customFormat="1" x14ac:dyDescent="0.25"/>
    <row r="590" s="8" customFormat="1" x14ac:dyDescent="0.25"/>
    <row r="591" s="8" customFormat="1" x14ac:dyDescent="0.25"/>
    <row r="592" s="8" customFormat="1" x14ac:dyDescent="0.25"/>
    <row r="593" s="8" customFormat="1" x14ac:dyDescent="0.25"/>
    <row r="594" s="8" customFormat="1" x14ac:dyDescent="0.25"/>
    <row r="595" s="8" customFormat="1" x14ac:dyDescent="0.25"/>
    <row r="596" s="8" customFormat="1" x14ac:dyDescent="0.25"/>
    <row r="597" s="8" customFormat="1" x14ac:dyDescent="0.25"/>
    <row r="598" s="8" customFormat="1" x14ac:dyDescent="0.25"/>
    <row r="599" s="8" customFormat="1" x14ac:dyDescent="0.25"/>
    <row r="600" s="8" customFormat="1" x14ac:dyDescent="0.25"/>
    <row r="601" s="8" customFormat="1" x14ac:dyDescent="0.25"/>
    <row r="602" s="8" customFormat="1" x14ac:dyDescent="0.25"/>
    <row r="603" s="8" customFormat="1" x14ac:dyDescent="0.25"/>
    <row r="604" s="8" customFormat="1" x14ac:dyDescent="0.25"/>
    <row r="605" s="8" customFormat="1" x14ac:dyDescent="0.25"/>
    <row r="606" s="8" customFormat="1" x14ac:dyDescent="0.25"/>
    <row r="607" s="8" customFormat="1" x14ac:dyDescent="0.25"/>
    <row r="608" s="8" customFormat="1" x14ac:dyDescent="0.25"/>
    <row r="609" s="8" customFormat="1" x14ac:dyDescent="0.25"/>
    <row r="610" s="8" customFormat="1" x14ac:dyDescent="0.25"/>
    <row r="611" s="8" customFormat="1" x14ac:dyDescent="0.25"/>
    <row r="612" s="8" customFormat="1" x14ac:dyDescent="0.25"/>
    <row r="613" s="8" customFormat="1" x14ac:dyDescent="0.25"/>
    <row r="614" s="8" customFormat="1" x14ac:dyDescent="0.25"/>
    <row r="615" s="8" customFormat="1" x14ac:dyDescent="0.25"/>
    <row r="616" s="8" customFormat="1" x14ac:dyDescent="0.25"/>
    <row r="617" s="8" customFormat="1" x14ac:dyDescent="0.25"/>
    <row r="618" s="8" customFormat="1" x14ac:dyDescent="0.25"/>
    <row r="619" s="8" customFormat="1" x14ac:dyDescent="0.25"/>
    <row r="620" s="8" customFormat="1" x14ac:dyDescent="0.25"/>
    <row r="621" s="8" customFormat="1" x14ac:dyDescent="0.25"/>
    <row r="622" s="8" customFormat="1" x14ac:dyDescent="0.25"/>
    <row r="623" s="8" customFormat="1" x14ac:dyDescent="0.25"/>
    <row r="624" s="8" customFormat="1" x14ac:dyDescent="0.25"/>
    <row r="625" s="8" customFormat="1" x14ac:dyDescent="0.25"/>
    <row r="626" s="8" customFormat="1" x14ac:dyDescent="0.25"/>
    <row r="627" s="8" customFormat="1" x14ac:dyDescent="0.25"/>
    <row r="628" s="8" customFormat="1" x14ac:dyDescent="0.25"/>
    <row r="629" s="8" customFormat="1" x14ac:dyDescent="0.25"/>
    <row r="630" s="8" customFormat="1" x14ac:dyDescent="0.25"/>
    <row r="631" s="8" customFormat="1" x14ac:dyDescent="0.25"/>
    <row r="632" s="8" customFormat="1" x14ac:dyDescent="0.25"/>
    <row r="633" s="8" customFormat="1" x14ac:dyDescent="0.25"/>
    <row r="634" s="8" customFormat="1" x14ac:dyDescent="0.25"/>
    <row r="635" s="8" customFormat="1" x14ac:dyDescent="0.25"/>
    <row r="636" s="8" customFormat="1" x14ac:dyDescent="0.25"/>
    <row r="637" s="8" customFormat="1" x14ac:dyDescent="0.25"/>
    <row r="638" s="8" customFormat="1" x14ac:dyDescent="0.25"/>
    <row r="639" s="8" customFormat="1" x14ac:dyDescent="0.25"/>
    <row r="640" s="8" customFormat="1" x14ac:dyDescent="0.25"/>
    <row r="641" s="8" customFormat="1" x14ac:dyDescent="0.25"/>
    <row r="642" s="8" customFormat="1" x14ac:dyDescent="0.25"/>
    <row r="643" s="8" customFormat="1" x14ac:dyDescent="0.25"/>
    <row r="644" s="8" customFormat="1" x14ac:dyDescent="0.25"/>
    <row r="645" s="8" customFormat="1" x14ac:dyDescent="0.25"/>
    <row r="646" s="8" customFormat="1" x14ac:dyDescent="0.25"/>
    <row r="647" s="8" customFormat="1" x14ac:dyDescent="0.25"/>
    <row r="648" s="8" customFormat="1" x14ac:dyDescent="0.25"/>
    <row r="649" s="8" customFormat="1" x14ac:dyDescent="0.25"/>
    <row r="650" s="8" customFormat="1" x14ac:dyDescent="0.25"/>
    <row r="651" s="8" customFormat="1" x14ac:dyDescent="0.25"/>
    <row r="652" s="8" customFormat="1" x14ac:dyDescent="0.25"/>
    <row r="653" s="8" customFormat="1" x14ac:dyDescent="0.25"/>
    <row r="654" s="8" customFormat="1" x14ac:dyDescent="0.25"/>
    <row r="655" s="8" customFormat="1" x14ac:dyDescent="0.25"/>
    <row r="656" s="8" customFormat="1" x14ac:dyDescent="0.25"/>
    <row r="657" s="8" customFormat="1" x14ac:dyDescent="0.25"/>
    <row r="658" s="8" customFormat="1" x14ac:dyDescent="0.25"/>
    <row r="659" s="8" customFormat="1" x14ac:dyDescent="0.25"/>
    <row r="660" s="8" customFormat="1" x14ac:dyDescent="0.25"/>
    <row r="661" s="8" customFormat="1" x14ac:dyDescent="0.25"/>
    <row r="662" s="8" customFormat="1" x14ac:dyDescent="0.25"/>
    <row r="663" s="8" customFormat="1" x14ac:dyDescent="0.25"/>
    <row r="664" s="8" customFormat="1" x14ac:dyDescent="0.25"/>
    <row r="665" s="8" customFormat="1" x14ac:dyDescent="0.25"/>
    <row r="666" s="8" customFormat="1" x14ac:dyDescent="0.25"/>
    <row r="667" s="8" customFormat="1" x14ac:dyDescent="0.25"/>
    <row r="668" s="8" customFormat="1" x14ac:dyDescent="0.25"/>
    <row r="669" s="8" customFormat="1" x14ac:dyDescent="0.25"/>
    <row r="670" s="8" customFormat="1" x14ac:dyDescent="0.25"/>
    <row r="671" s="8" customFormat="1" x14ac:dyDescent="0.25"/>
    <row r="672" s="8" customFormat="1" x14ac:dyDescent="0.25"/>
    <row r="673" s="8" customFormat="1" x14ac:dyDescent="0.25"/>
    <row r="674" s="8" customFormat="1" x14ac:dyDescent="0.25"/>
    <row r="675" s="8" customFormat="1" x14ac:dyDescent="0.25"/>
    <row r="676" s="8" customFormat="1" x14ac:dyDescent="0.25"/>
    <row r="677" s="8" customFormat="1" x14ac:dyDescent="0.25"/>
    <row r="678" s="8" customFormat="1" x14ac:dyDescent="0.25"/>
    <row r="679" s="8" customFormat="1" x14ac:dyDescent="0.25"/>
    <row r="680" s="8" customFormat="1" x14ac:dyDescent="0.25"/>
    <row r="681" s="8" customFormat="1" x14ac:dyDescent="0.25"/>
    <row r="682" s="8" customFormat="1" x14ac:dyDescent="0.25"/>
    <row r="683" s="8" customFormat="1" x14ac:dyDescent="0.25"/>
    <row r="684" s="8" customFormat="1" x14ac:dyDescent="0.25"/>
    <row r="685" s="8" customFormat="1" x14ac:dyDescent="0.25"/>
    <row r="686" s="8" customFormat="1" x14ac:dyDescent="0.25"/>
    <row r="687" s="8" customFormat="1" x14ac:dyDescent="0.25"/>
    <row r="688" s="8" customFormat="1" x14ac:dyDescent="0.25"/>
    <row r="689" s="8" customFormat="1" x14ac:dyDescent="0.25"/>
    <row r="690" s="8" customFormat="1" x14ac:dyDescent="0.25"/>
    <row r="691" s="8" customFormat="1" x14ac:dyDescent="0.25"/>
    <row r="692" s="8" customFormat="1" x14ac:dyDescent="0.25"/>
    <row r="693" s="8" customFormat="1" x14ac:dyDescent="0.25"/>
    <row r="694" s="8" customFormat="1" x14ac:dyDescent="0.25"/>
    <row r="695" s="8" customFormat="1" x14ac:dyDescent="0.25"/>
    <row r="696" s="8" customFormat="1" x14ac:dyDescent="0.25"/>
    <row r="697" s="8" customFormat="1" x14ac:dyDescent="0.25"/>
    <row r="698" s="8" customFormat="1" x14ac:dyDescent="0.25"/>
    <row r="699" s="8" customFormat="1" x14ac:dyDescent="0.25"/>
    <row r="700" s="8" customFormat="1" x14ac:dyDescent="0.25"/>
    <row r="701" s="8" customFormat="1" x14ac:dyDescent="0.25"/>
    <row r="702" s="8" customFormat="1" x14ac:dyDescent="0.25"/>
    <row r="703" s="8" customFormat="1" x14ac:dyDescent="0.25"/>
    <row r="704" s="8" customFormat="1" x14ac:dyDescent="0.25"/>
    <row r="705" s="8" customFormat="1" x14ac:dyDescent="0.25"/>
    <row r="706" s="8" customFormat="1" x14ac:dyDescent="0.25"/>
    <row r="707" s="8" customFormat="1" x14ac:dyDescent="0.25"/>
    <row r="708" s="8" customFormat="1" x14ac:dyDescent="0.25"/>
    <row r="709" s="8" customFormat="1" x14ac:dyDescent="0.25"/>
    <row r="710" s="8" customFormat="1" x14ac:dyDescent="0.25"/>
    <row r="711" s="8" customFormat="1" x14ac:dyDescent="0.25"/>
    <row r="712" s="8" customFormat="1" x14ac:dyDescent="0.25"/>
    <row r="713" s="8" customFormat="1" x14ac:dyDescent="0.25"/>
    <row r="714" s="8" customFormat="1" x14ac:dyDescent="0.25"/>
    <row r="715" s="8" customFormat="1" x14ac:dyDescent="0.25"/>
    <row r="716" s="8" customFormat="1" x14ac:dyDescent="0.25"/>
    <row r="717" s="8" customFormat="1" x14ac:dyDescent="0.25"/>
    <row r="718" s="8" customFormat="1" x14ac:dyDescent="0.25"/>
    <row r="719" s="8" customFormat="1" x14ac:dyDescent="0.25"/>
    <row r="720" s="8" customFormat="1" x14ac:dyDescent="0.25"/>
    <row r="721" s="8" customFormat="1" x14ac:dyDescent="0.25"/>
    <row r="722" s="8" customFormat="1" x14ac:dyDescent="0.25"/>
    <row r="723" s="8" customFormat="1" x14ac:dyDescent="0.25"/>
    <row r="724" s="8" customFormat="1" x14ac:dyDescent="0.25"/>
    <row r="725" s="8" customFormat="1" x14ac:dyDescent="0.25"/>
    <row r="726" s="8" customFormat="1" x14ac:dyDescent="0.25"/>
    <row r="727" s="8" customFormat="1" x14ac:dyDescent="0.25"/>
    <row r="728" s="8" customFormat="1" x14ac:dyDescent="0.25"/>
    <row r="729" s="8" customFormat="1" x14ac:dyDescent="0.25"/>
    <row r="730" s="8" customFormat="1" x14ac:dyDescent="0.25"/>
    <row r="731" s="8" customFormat="1" x14ac:dyDescent="0.25"/>
    <row r="732" s="8" customFormat="1" x14ac:dyDescent="0.25"/>
    <row r="733" s="8" customFormat="1" x14ac:dyDescent="0.25"/>
    <row r="734" s="8" customFormat="1" x14ac:dyDescent="0.25"/>
    <row r="735" s="8" customFormat="1" x14ac:dyDescent="0.25"/>
    <row r="736" s="8" customFormat="1" x14ac:dyDescent="0.25"/>
    <row r="737" s="8" customFormat="1" x14ac:dyDescent="0.25"/>
    <row r="738" s="8" customFormat="1" x14ac:dyDescent="0.25"/>
    <row r="739" s="8" customFormat="1" x14ac:dyDescent="0.25"/>
    <row r="740" s="8" customFormat="1" x14ac:dyDescent="0.25"/>
    <row r="741" s="8" customFormat="1" x14ac:dyDescent="0.25"/>
    <row r="742" s="8" customFormat="1" x14ac:dyDescent="0.25"/>
    <row r="743" s="8" customFormat="1" x14ac:dyDescent="0.25"/>
    <row r="744" s="8" customFormat="1" x14ac:dyDescent="0.25"/>
    <row r="745" s="8" customFormat="1" x14ac:dyDescent="0.25"/>
    <row r="746" s="8" customFormat="1" x14ac:dyDescent="0.25"/>
    <row r="747" s="8" customFormat="1" x14ac:dyDescent="0.25"/>
    <row r="748" s="8" customFormat="1" x14ac:dyDescent="0.25"/>
    <row r="749" s="8" customFormat="1" x14ac:dyDescent="0.25"/>
    <row r="750" s="8" customFormat="1" x14ac:dyDescent="0.25"/>
    <row r="751" s="8" customFormat="1" x14ac:dyDescent="0.25"/>
    <row r="752" s="8" customFormat="1" x14ac:dyDescent="0.25"/>
    <row r="753" s="8" customFormat="1" x14ac:dyDescent="0.25"/>
    <row r="754" s="8" customFormat="1" x14ac:dyDescent="0.25"/>
    <row r="755" s="8" customFormat="1" x14ac:dyDescent="0.25"/>
    <row r="756" s="8" customFormat="1" x14ac:dyDescent="0.25"/>
    <row r="757" s="8" customFormat="1" x14ac:dyDescent="0.25"/>
    <row r="758" s="8" customFormat="1" x14ac:dyDescent="0.25"/>
    <row r="759" s="8" customFormat="1" x14ac:dyDescent="0.25"/>
    <row r="760" s="8" customFormat="1" x14ac:dyDescent="0.25"/>
    <row r="761" s="8" customFormat="1" x14ac:dyDescent="0.25"/>
    <row r="762" s="8" customFormat="1" x14ac:dyDescent="0.25"/>
    <row r="763" s="8" customFormat="1" x14ac:dyDescent="0.25"/>
    <row r="764" s="8" customFormat="1" x14ac:dyDescent="0.25"/>
    <row r="765" s="8" customFormat="1" x14ac:dyDescent="0.25"/>
    <row r="766" s="8" customFormat="1" x14ac:dyDescent="0.25"/>
    <row r="767" s="8" customFormat="1" x14ac:dyDescent="0.25"/>
    <row r="768" s="8" customFormat="1" x14ac:dyDescent="0.25"/>
    <row r="769" s="8" customFormat="1" x14ac:dyDescent="0.25"/>
    <row r="770" s="8" customFormat="1" x14ac:dyDescent="0.25"/>
    <row r="771" s="8" customFormat="1" x14ac:dyDescent="0.25"/>
    <row r="772" s="8" customFormat="1" x14ac:dyDescent="0.25"/>
    <row r="773" s="8" customFormat="1" x14ac:dyDescent="0.25"/>
    <row r="774" s="8" customFormat="1" x14ac:dyDescent="0.25"/>
    <row r="775" s="8" customFormat="1" x14ac:dyDescent="0.25"/>
    <row r="776" s="8" customFormat="1" x14ac:dyDescent="0.25"/>
    <row r="777" s="8" customFormat="1" x14ac:dyDescent="0.25"/>
    <row r="778" s="8" customFormat="1" x14ac:dyDescent="0.25"/>
    <row r="779" s="8" customFormat="1" x14ac:dyDescent="0.25"/>
    <row r="780" s="8" customFormat="1" x14ac:dyDescent="0.25"/>
    <row r="781" s="8" customFormat="1" x14ac:dyDescent="0.25"/>
    <row r="782" s="8" customFormat="1" x14ac:dyDescent="0.25"/>
    <row r="783" s="8" customFormat="1" x14ac:dyDescent="0.25"/>
    <row r="784" s="8" customFormat="1" x14ac:dyDescent="0.25"/>
    <row r="785" s="8" customFormat="1" x14ac:dyDescent="0.25"/>
    <row r="786" s="8" customFormat="1" x14ac:dyDescent="0.25"/>
    <row r="787" s="8" customFormat="1" x14ac:dyDescent="0.25"/>
    <row r="788" s="8" customFormat="1" x14ac:dyDescent="0.25"/>
    <row r="789" s="8" customFormat="1" x14ac:dyDescent="0.25"/>
    <row r="790" s="8" customFormat="1" x14ac:dyDescent="0.25"/>
    <row r="791" s="8" customFormat="1" x14ac:dyDescent="0.25"/>
    <row r="792" s="8" customFormat="1" x14ac:dyDescent="0.25"/>
    <row r="793" s="8" customFormat="1" x14ac:dyDescent="0.25"/>
    <row r="794" s="8" customFormat="1" x14ac:dyDescent="0.25"/>
  </sheetData>
  <dataConsolidate/>
  <mergeCells count="1">
    <mergeCell ref="C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2007B-35D6-4B0D-9539-98B5D4D44EB6}">
  <dimension ref="A1:R16"/>
  <sheetViews>
    <sheetView zoomScaleNormal="100" workbookViewId="0">
      <selection activeCell="Q19" sqref="Q19"/>
    </sheetView>
  </sheetViews>
  <sheetFormatPr defaultColWidth="8.7109375" defaultRowHeight="15" x14ac:dyDescent="0.25"/>
  <cols>
    <col min="1" max="1" width="15" style="2" customWidth="1"/>
    <col min="2" max="2" width="16" style="2" customWidth="1"/>
    <col min="3" max="3" width="26.5703125" style="2" customWidth="1"/>
    <col min="4" max="4" width="6.5703125" style="2" customWidth="1"/>
    <col min="5" max="5" width="5.42578125" style="2" customWidth="1"/>
    <col min="6" max="6" width="6.85546875" style="2" customWidth="1"/>
    <col min="7" max="7" width="8.140625" style="2" customWidth="1"/>
    <col min="8" max="8" width="7.5703125" style="2" customWidth="1"/>
    <col min="9" max="9" width="6.7109375" style="2" customWidth="1"/>
    <col min="10" max="10" width="7.140625" style="2" customWidth="1"/>
    <col min="11" max="11" width="6.28515625" style="2" customWidth="1"/>
    <col min="12" max="12" width="16.5703125" style="2" customWidth="1"/>
    <col min="13" max="13" width="18.85546875" style="2" customWidth="1"/>
    <col min="14" max="14" width="7.28515625" style="2" bestFit="1" customWidth="1"/>
    <col min="15" max="15" width="6.140625" style="2" bestFit="1" customWidth="1"/>
    <col min="16" max="16" width="9.42578125" style="2" bestFit="1" customWidth="1"/>
    <col min="17" max="17" width="8.7109375" style="2" bestFit="1" customWidth="1"/>
    <col min="18" max="16384" width="8.7109375" style="2"/>
  </cols>
  <sheetData>
    <row r="1" spans="1:18" x14ac:dyDescent="0.25">
      <c r="A1" s="22" t="s">
        <v>21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4"/>
      <c r="N1" s="66" t="s">
        <v>59</v>
      </c>
      <c r="O1" s="66"/>
      <c r="P1" s="67" t="s">
        <v>57</v>
      </c>
      <c r="Q1" s="68"/>
      <c r="R1" s="68"/>
    </row>
    <row r="2" spans="1:18" ht="60" x14ac:dyDescent="0.25">
      <c r="A2" s="1" t="s">
        <v>3</v>
      </c>
      <c r="B2" s="1" t="s">
        <v>0</v>
      </c>
      <c r="C2" s="1" t="s">
        <v>4</v>
      </c>
      <c r="D2" s="1" t="s">
        <v>25</v>
      </c>
      <c r="E2" s="1" t="s">
        <v>26</v>
      </c>
      <c r="F2" s="1" t="s">
        <v>27</v>
      </c>
      <c r="G2" s="1" t="s">
        <v>28</v>
      </c>
      <c r="H2" s="1" t="s">
        <v>1</v>
      </c>
      <c r="I2" s="1" t="s">
        <v>2</v>
      </c>
      <c r="J2" s="1" t="s">
        <v>5</v>
      </c>
      <c r="K2" s="1" t="s">
        <v>6</v>
      </c>
      <c r="L2" s="1" t="s">
        <v>22</v>
      </c>
      <c r="M2" s="1" t="s">
        <v>24</v>
      </c>
      <c r="N2" s="59" t="s">
        <v>59</v>
      </c>
      <c r="O2" s="59" t="s">
        <v>65</v>
      </c>
      <c r="P2" s="69" t="s">
        <v>1</v>
      </c>
      <c r="Q2" s="69" t="s">
        <v>2</v>
      </c>
      <c r="R2" s="70" t="s">
        <v>58</v>
      </c>
    </row>
    <row r="3" spans="1:18" x14ac:dyDescent="0.25">
      <c r="A3" s="11">
        <v>1</v>
      </c>
      <c r="B3" s="11" t="s">
        <v>23</v>
      </c>
      <c r="C3" s="3"/>
      <c r="D3" s="3" t="s">
        <v>11</v>
      </c>
      <c r="E3" s="3" t="s">
        <v>10</v>
      </c>
      <c r="F3" s="3" t="s">
        <v>8</v>
      </c>
      <c r="G3" s="3" t="s">
        <v>8</v>
      </c>
      <c r="H3" s="3">
        <f>IFERROR(VLOOKUP(D3,'T-Shirt Sizing'!$G$6:$H$15,2,FALSE),0)</f>
        <v>21</v>
      </c>
      <c r="I3" s="3">
        <f>IFERROR(VLOOKUP(E3,'T-Shirt Sizing'!$G$6:$H$15,2,FALSE),0)</f>
        <v>13</v>
      </c>
      <c r="J3" s="3">
        <f>IFERROR(VLOOKUP(F3,'T-Shirt Sizing'!$G$6:$H$15,2,FALSE),0)</f>
        <v>5</v>
      </c>
      <c r="K3" s="3">
        <f>IFERROR(VLOOKUP(G3,'T-Shirt Sizing'!$G$6:$H$15,2,FALSE),0)</f>
        <v>5</v>
      </c>
      <c r="L3" s="3"/>
      <c r="M3" s="3">
        <f>SUM(H3:K3)</f>
        <v>44</v>
      </c>
      <c r="N3" s="3" t="s">
        <v>60</v>
      </c>
      <c r="O3" s="3">
        <f>+H3+I3</f>
        <v>34</v>
      </c>
      <c r="P3" s="60">
        <f xml:space="preserve"> CEILING( IF(H3&gt;0,H3/($D$15* H$13),0),1)</f>
        <v>1</v>
      </c>
      <c r="Q3" s="60">
        <f xml:space="preserve"> CEILING( IF(I3&gt;0,I3/($D$15* I$13),0),1)</f>
        <v>1</v>
      </c>
      <c r="R3" s="60">
        <f>MAX(P3:Q3)</f>
        <v>1</v>
      </c>
    </row>
    <row r="4" spans="1:18" x14ac:dyDescent="0.25">
      <c r="A4" s="11">
        <v>2</v>
      </c>
      <c r="B4" s="11" t="s">
        <v>36</v>
      </c>
      <c r="C4" s="3"/>
      <c r="D4" s="3"/>
      <c r="E4" s="3" t="s">
        <v>13</v>
      </c>
      <c r="F4" s="3"/>
      <c r="G4" s="3"/>
      <c r="H4" s="3">
        <f>IFERROR(VLOOKUP(D4,'T-Shirt Sizing'!$G$6:$H$15,2,FALSE),0)</f>
        <v>0</v>
      </c>
      <c r="I4" s="3">
        <f>IFERROR(VLOOKUP(E4,'T-Shirt Sizing'!$G$6:$H$15,2,FALSE),0)</f>
        <v>55</v>
      </c>
      <c r="J4" s="3">
        <f>IFERROR(VLOOKUP(F4,'T-Shirt Sizing'!$G$6:$H$15,2,FALSE),0)</f>
        <v>0</v>
      </c>
      <c r="K4" s="3">
        <f>IFERROR(VLOOKUP(G4,'T-Shirt Sizing'!$G$6:$H$15,2,FALSE),0)</f>
        <v>0</v>
      </c>
      <c r="L4" s="3"/>
      <c r="M4" s="3">
        <f t="shared" ref="M4:M9" si="0">SUM(H4:K4)</f>
        <v>55</v>
      </c>
      <c r="N4" s="3" t="s">
        <v>61</v>
      </c>
      <c r="O4" s="3">
        <f t="shared" ref="O4:O9" si="1">+H4+I4</f>
        <v>55</v>
      </c>
      <c r="P4" s="60">
        <f xml:space="preserve"> CEILING( IF(H4&gt;0,H4/($D$15* H$13),0),1)</f>
        <v>0</v>
      </c>
      <c r="Q4" s="60">
        <f xml:space="preserve"> CEILING( IF(I4&gt;0,I4/($D$15* I$13),0),1)</f>
        <v>2</v>
      </c>
      <c r="R4" s="60">
        <f t="shared" ref="R4:R9" si="2">MAX(P4:Q4)</f>
        <v>2</v>
      </c>
    </row>
    <row r="5" spans="1:18" x14ac:dyDescent="0.25">
      <c r="A5" s="19">
        <v>3</v>
      </c>
      <c r="B5" s="11" t="s">
        <v>37</v>
      </c>
      <c r="C5" s="3"/>
      <c r="D5" s="3" t="s">
        <v>8</v>
      </c>
      <c r="E5" s="3"/>
      <c r="F5" s="3"/>
      <c r="G5" s="3"/>
      <c r="H5" s="3">
        <f>IFERROR(VLOOKUP(D5,'T-Shirt Sizing'!$G$6:$H$15,2,FALSE),0)</f>
        <v>5</v>
      </c>
      <c r="I5" s="3">
        <f>IFERROR(VLOOKUP(E5,'T-Shirt Sizing'!$G$6:$H$15,2,FALSE),0)</f>
        <v>0</v>
      </c>
      <c r="J5" s="3">
        <f>IFERROR(VLOOKUP(F5,'T-Shirt Sizing'!$G$6:$H$15,2,FALSE),0)</f>
        <v>0</v>
      </c>
      <c r="K5" s="3">
        <f>IFERROR(VLOOKUP(G5,'T-Shirt Sizing'!$G$6:$H$15,2,FALSE),0)</f>
        <v>0</v>
      </c>
      <c r="L5" s="3">
        <v>7</v>
      </c>
      <c r="M5" s="3">
        <f t="shared" si="0"/>
        <v>5</v>
      </c>
      <c r="N5" s="3" t="s">
        <v>62</v>
      </c>
      <c r="O5" s="3">
        <f t="shared" si="1"/>
        <v>5</v>
      </c>
      <c r="P5" s="60">
        <f xml:space="preserve"> CEILING( IF(H5&gt;0,H5/($D$15* H$13),0),1)</f>
        <v>1</v>
      </c>
      <c r="Q5" s="60">
        <f xml:space="preserve"> CEILING( IF(I5&gt;0,I5/($D$15* I$13),0),1)</f>
        <v>0</v>
      </c>
      <c r="R5" s="60">
        <f t="shared" si="2"/>
        <v>1</v>
      </c>
    </row>
    <row r="6" spans="1:18" x14ac:dyDescent="0.25">
      <c r="A6" s="19">
        <v>4</v>
      </c>
      <c r="B6" s="11" t="s">
        <v>38</v>
      </c>
      <c r="C6" s="3"/>
      <c r="D6" s="3"/>
      <c r="E6" s="3" t="s">
        <v>9</v>
      </c>
      <c r="F6" s="3"/>
      <c r="G6" s="3"/>
      <c r="H6" s="3">
        <f>IFERROR(VLOOKUP(D6,'T-Shirt Sizing'!$G$6:$H$15,2,FALSE),0)</f>
        <v>0</v>
      </c>
      <c r="I6" s="3">
        <f>IFERROR(VLOOKUP(E6,'T-Shirt Sizing'!$G$6:$H$15,2,FALSE),0)</f>
        <v>8</v>
      </c>
      <c r="J6" s="3">
        <f>IFERROR(VLOOKUP(F6,'T-Shirt Sizing'!$G$6:$H$15,2,FALSE),0)</f>
        <v>0</v>
      </c>
      <c r="K6" s="3">
        <f>IFERROR(VLOOKUP(G6,'T-Shirt Sizing'!$G$6:$H$15,2,FALSE),0)</f>
        <v>0</v>
      </c>
      <c r="L6" s="3">
        <v>3</v>
      </c>
      <c r="M6" s="3">
        <f t="shared" si="0"/>
        <v>8</v>
      </c>
      <c r="N6" s="3" t="s">
        <v>60</v>
      </c>
      <c r="O6" s="3">
        <f t="shared" si="1"/>
        <v>8</v>
      </c>
      <c r="P6" s="60">
        <f xml:space="preserve"> CEILING( IF(H6&gt;0,H6/($D$15* H$13),0),1)</f>
        <v>0</v>
      </c>
      <c r="Q6" s="60">
        <f xml:space="preserve"> CEILING( IF(I6&gt;0,I6/($D$15* I$13),0),1)</f>
        <v>1</v>
      </c>
      <c r="R6" s="60">
        <f t="shared" si="2"/>
        <v>1</v>
      </c>
    </row>
    <row r="7" spans="1:18" x14ac:dyDescent="0.25">
      <c r="A7" s="19">
        <v>5</v>
      </c>
      <c r="B7" s="11" t="s">
        <v>39</v>
      </c>
      <c r="C7" s="3"/>
      <c r="D7" s="3"/>
      <c r="E7" s="3" t="s">
        <v>12</v>
      </c>
      <c r="F7" s="3"/>
      <c r="G7" s="3"/>
      <c r="H7" s="3">
        <f>IFERROR(VLOOKUP(D7,'T-Shirt Sizing'!$G$6:$H$15,2,FALSE),0)</f>
        <v>0</v>
      </c>
      <c r="I7" s="3">
        <f>IFERROR(VLOOKUP(E7,'T-Shirt Sizing'!$G$6:$H$15,2,FALSE),0)</f>
        <v>34</v>
      </c>
      <c r="J7" s="3">
        <f>IFERROR(VLOOKUP(F7,'T-Shirt Sizing'!$G$6:$H$15,2,FALSE),0)</f>
        <v>0</v>
      </c>
      <c r="K7" s="3">
        <f>IFERROR(VLOOKUP(G7,'T-Shirt Sizing'!$G$6:$H$15,2,FALSE),0)</f>
        <v>0</v>
      </c>
      <c r="L7" s="3">
        <v>3</v>
      </c>
      <c r="M7" s="3">
        <f t="shared" si="0"/>
        <v>34</v>
      </c>
      <c r="N7" s="3" t="s">
        <v>61</v>
      </c>
      <c r="O7" s="3">
        <f t="shared" si="1"/>
        <v>34</v>
      </c>
      <c r="P7" s="60">
        <f xml:space="preserve"> CEILING( IF(H7&gt;0,H7/($D$15* H$13),0),1)</f>
        <v>0</v>
      </c>
      <c r="Q7" s="60">
        <f xml:space="preserve"> CEILING( IF(I7&gt;0,I7/($D$15* I$13),0),1)</f>
        <v>1</v>
      </c>
      <c r="R7" s="60">
        <f t="shared" si="2"/>
        <v>1</v>
      </c>
    </row>
    <row r="8" spans="1:18" x14ac:dyDescent="0.25">
      <c r="A8" s="19">
        <v>6</v>
      </c>
      <c r="B8" s="11" t="s">
        <v>40</v>
      </c>
      <c r="C8" s="3"/>
      <c r="D8" s="3" t="s">
        <v>12</v>
      </c>
      <c r="E8" s="3"/>
      <c r="F8" s="3"/>
      <c r="G8" s="3"/>
      <c r="H8" s="3">
        <f>IFERROR(VLOOKUP(D8,'T-Shirt Sizing'!$G$6:$H$15,2,FALSE),0)</f>
        <v>34</v>
      </c>
      <c r="I8" s="3">
        <f>IFERROR(VLOOKUP(E8,'T-Shirt Sizing'!$G$6:$H$15,2,FALSE),0)</f>
        <v>0</v>
      </c>
      <c r="J8" s="3">
        <f>IFERROR(VLOOKUP(F8,'T-Shirt Sizing'!$G$6:$H$15,2,FALSE),0)</f>
        <v>0</v>
      </c>
      <c r="K8" s="3">
        <f>IFERROR(VLOOKUP(G8,'T-Shirt Sizing'!$G$6:$H$15,2,FALSE),0)</f>
        <v>0</v>
      </c>
      <c r="L8" s="3">
        <v>2</v>
      </c>
      <c r="M8" s="3">
        <f t="shared" si="0"/>
        <v>34</v>
      </c>
      <c r="N8" s="3" t="s">
        <v>62</v>
      </c>
      <c r="O8" s="3">
        <f t="shared" si="1"/>
        <v>34</v>
      </c>
      <c r="P8" s="60">
        <f xml:space="preserve"> CEILING( IF(H8&gt;0,H8/($D$15* H$13),0),1)</f>
        <v>1</v>
      </c>
      <c r="Q8" s="60">
        <f xml:space="preserve"> CEILING( IF(I8&gt;0,I8/($D$15* I$13),0),1)</f>
        <v>0</v>
      </c>
      <c r="R8" s="60">
        <f t="shared" si="2"/>
        <v>1</v>
      </c>
    </row>
    <row r="9" spans="1:18" x14ac:dyDescent="0.25">
      <c r="A9" s="19">
        <v>7</v>
      </c>
      <c r="B9" s="19" t="s">
        <v>41</v>
      </c>
      <c r="C9" s="3"/>
      <c r="D9" s="3"/>
      <c r="E9" s="3" t="s">
        <v>7</v>
      </c>
      <c r="F9" s="3"/>
      <c r="G9" s="3"/>
      <c r="H9" s="3">
        <f>IFERROR(VLOOKUP(D9,'T-Shirt Sizing'!$G$6:$H$15,2,FALSE),0)</f>
        <v>0</v>
      </c>
      <c r="I9" s="3">
        <f>IFERROR(VLOOKUP(E9,'T-Shirt Sizing'!$G$6:$H$15,2,FALSE),0)</f>
        <v>3</v>
      </c>
      <c r="J9" s="3">
        <f>IFERROR(VLOOKUP(F9,'T-Shirt Sizing'!$G$6:$H$15,2,FALSE),0)</f>
        <v>0</v>
      </c>
      <c r="K9" s="3">
        <f>IFERROR(VLOOKUP(G9,'T-Shirt Sizing'!$G$6:$H$15,2,FALSE),0)</f>
        <v>0</v>
      </c>
      <c r="L9" s="3">
        <v>1</v>
      </c>
      <c r="M9" s="3">
        <f t="shared" si="0"/>
        <v>3</v>
      </c>
      <c r="N9" s="3" t="s">
        <v>60</v>
      </c>
      <c r="O9" s="3">
        <f t="shared" si="1"/>
        <v>3</v>
      </c>
      <c r="P9" s="60">
        <f xml:space="preserve"> CEILING( IF(H9&gt;0,H9/($D$15* H$13),0),1)</f>
        <v>0</v>
      </c>
      <c r="Q9" s="60">
        <f xml:space="preserve"> CEILING( IF(I9&gt;0,I9/($D$15* I$13),0),1)</f>
        <v>1</v>
      </c>
      <c r="R9" s="60">
        <f t="shared" si="2"/>
        <v>1</v>
      </c>
    </row>
    <row r="10" spans="1:18" x14ac:dyDescent="0.25">
      <c r="H10" s="3">
        <f>SUM(H3:H9)</f>
        <v>60</v>
      </c>
      <c r="I10" s="3">
        <f t="shared" ref="I10:K10" si="3">SUM(I3:I9)</f>
        <v>113</v>
      </c>
      <c r="J10" s="3">
        <f t="shared" si="3"/>
        <v>5</v>
      </c>
      <c r="K10" s="3">
        <f t="shared" si="3"/>
        <v>5</v>
      </c>
      <c r="M10" s="3">
        <f>SUM(M3:M9)</f>
        <v>183</v>
      </c>
    </row>
    <row r="13" spans="1:18" x14ac:dyDescent="0.25">
      <c r="C13" s="17" t="s">
        <v>29</v>
      </c>
      <c r="H13" s="18">
        <v>4</v>
      </c>
      <c r="I13" s="18">
        <v>4</v>
      </c>
      <c r="J13" s="18">
        <v>1</v>
      </c>
      <c r="K13" s="18">
        <v>1</v>
      </c>
      <c r="M13" s="3">
        <f>SUM(H13:K13)</f>
        <v>10</v>
      </c>
      <c r="N13" s="62"/>
      <c r="O13" s="62"/>
    </row>
    <row r="14" spans="1:18" x14ac:dyDescent="0.25">
      <c r="C14" s="17" t="s">
        <v>30</v>
      </c>
      <c r="D14" s="2">
        <v>2</v>
      </c>
      <c r="H14" s="3">
        <f>H10*$D$14</f>
        <v>120</v>
      </c>
      <c r="I14" s="3">
        <f t="shared" ref="I14:K14" si="4">I10*$D$14</f>
        <v>226</v>
      </c>
      <c r="J14" s="3">
        <f t="shared" si="4"/>
        <v>10</v>
      </c>
      <c r="K14" s="3">
        <f t="shared" si="4"/>
        <v>10</v>
      </c>
      <c r="M14" s="3">
        <f>SUM(H14:K14)</f>
        <v>366</v>
      </c>
      <c r="N14" s="62"/>
      <c r="O14" s="62"/>
    </row>
    <row r="15" spans="1:18" x14ac:dyDescent="0.25">
      <c r="C15" s="17" t="s">
        <v>31</v>
      </c>
      <c r="D15" s="2">
        <v>10</v>
      </c>
      <c r="H15" s="3"/>
      <c r="I15" s="3"/>
      <c r="J15" s="3"/>
      <c r="K15" s="3"/>
      <c r="M15" s="3"/>
      <c r="N15" s="62"/>
      <c r="O15" s="62"/>
    </row>
    <row r="16" spans="1:18" x14ac:dyDescent="0.25">
      <c r="C16" s="17" t="s">
        <v>32</v>
      </c>
      <c r="H16" s="3">
        <f>(H14/($D$15*H13))</f>
        <v>3</v>
      </c>
      <c r="I16" s="3">
        <f>(I14/($D$15*I13))</f>
        <v>5.65</v>
      </c>
      <c r="J16" s="3">
        <f t="shared" ref="J16:K16" si="5">(J14/($D$15*J13))</f>
        <v>1</v>
      </c>
      <c r="K16" s="3">
        <f t="shared" si="5"/>
        <v>1</v>
      </c>
      <c r="M16" s="3">
        <f>MAX(H16:K16)</f>
        <v>5.65</v>
      </c>
      <c r="N16" s="62"/>
      <c r="O16" s="62"/>
    </row>
  </sheetData>
  <mergeCells count="3">
    <mergeCell ref="A1:M1"/>
    <mergeCell ref="P1:R1"/>
    <mergeCell ref="N1:O1"/>
  </mergeCells>
  <phoneticPr fontId="5" type="noConversion"/>
  <dataValidations count="3">
    <dataValidation type="list" allowBlank="1" showInputMessage="1" showErrorMessage="1" sqref="L3" xr:uid="{F89AB392-5D67-4EC6-BD0F-A888244C57B0}">
      <formula1>$A$3:$A$9</formula1>
    </dataValidation>
    <dataValidation type="list" errorStyle="warning" allowBlank="1" showInputMessage="1" showErrorMessage="1" errorTitle="Dependency" promptTitle="Select Depedency" prompt="Please select the dependency ID for the requirement. If there are no depedencies then don't select any option" sqref="L5:L9" xr:uid="{57500754-9C2A-48C9-91AB-4885BE6FB068}">
      <formula1>$A$3:$A$9</formula1>
    </dataValidation>
    <dataValidation type="list" errorStyle="warning" allowBlank="1" showInputMessage="1" showErrorMessage="1" errorTitle="Dependency" promptTitle="Select Depedency" prompt="Please select the dependency ID for the requirement. If there are no depedencies then don't select any option" sqref="L4" xr:uid="{0D4EB4D8-D0AC-4BEF-B643-E8BD1A0F6EFD}">
      <formula1>$A$3:$A$10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ABB2C-61BC-4F28-B75C-D783E30EADA5}">
  <dimension ref="A1:CM1399"/>
  <sheetViews>
    <sheetView topLeftCell="A3" zoomScaleNormal="100" workbookViewId="0">
      <selection activeCell="H19" sqref="H19"/>
    </sheetView>
  </sheetViews>
  <sheetFormatPr defaultRowHeight="15" x14ac:dyDescent="0.25"/>
  <cols>
    <col min="1" max="1" width="5.5703125" bestFit="1" customWidth="1"/>
    <col min="2" max="2" width="9.42578125" bestFit="1" customWidth="1"/>
    <col min="7" max="7" width="16.28515625" customWidth="1"/>
    <col min="8" max="8" width="35.5703125" customWidth="1"/>
    <col min="34" max="91" width="8.7109375" style="8"/>
  </cols>
  <sheetData>
    <row r="1" spans="1:33" x14ac:dyDescent="0.25">
      <c r="A1" s="7"/>
      <c r="B1" s="7"/>
      <c r="C1" s="7"/>
      <c r="D1" s="7"/>
      <c r="E1" s="7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</row>
    <row r="2" spans="1:33" x14ac:dyDescent="0.25">
      <c r="A2" s="7"/>
      <c r="B2" s="7"/>
      <c r="C2" s="7"/>
      <c r="D2" s="7"/>
      <c r="E2" s="7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</row>
    <row r="3" spans="1:33" x14ac:dyDescent="0.25">
      <c r="A3" s="7"/>
      <c r="B3" s="7"/>
      <c r="C3" s="7"/>
      <c r="D3" s="7"/>
      <c r="E3" s="7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 spans="1:33" x14ac:dyDescent="0.25">
      <c r="A4" s="7"/>
      <c r="B4" s="7"/>
      <c r="C4" s="7"/>
      <c r="D4" s="7"/>
      <c r="E4" s="7"/>
      <c r="F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</row>
    <row r="5" spans="1:33" x14ac:dyDescent="0.25">
      <c r="A5" s="7"/>
      <c r="B5" s="7"/>
      <c r="C5" s="7"/>
      <c r="D5" s="7"/>
      <c r="E5" s="7"/>
      <c r="F5" s="8"/>
      <c r="G5" s="4" t="s">
        <v>17</v>
      </c>
      <c r="H5" s="4" t="s">
        <v>18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</row>
    <row r="6" spans="1:33" x14ac:dyDescent="0.25">
      <c r="A6" s="7"/>
      <c r="B6" s="7"/>
      <c r="C6" s="7"/>
      <c r="D6" s="7"/>
      <c r="E6" s="7"/>
      <c r="F6" s="8"/>
      <c r="G6" s="5" t="s">
        <v>7</v>
      </c>
      <c r="H6" s="5">
        <v>3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</row>
    <row r="7" spans="1:33" x14ac:dyDescent="0.25">
      <c r="A7" s="7"/>
      <c r="B7" s="7"/>
      <c r="C7" s="7"/>
      <c r="D7" s="7"/>
      <c r="E7" s="7"/>
      <c r="F7" s="8"/>
      <c r="G7" s="5" t="s">
        <v>8</v>
      </c>
      <c r="H7" s="5">
        <v>5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</row>
    <row r="8" spans="1:33" x14ac:dyDescent="0.25">
      <c r="A8" s="7"/>
      <c r="B8" s="7"/>
      <c r="C8" s="7"/>
      <c r="D8" s="7"/>
      <c r="E8" s="7"/>
      <c r="F8" s="8"/>
      <c r="G8" s="5" t="s">
        <v>9</v>
      </c>
      <c r="H8" s="5">
        <v>8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</row>
    <row r="9" spans="1:33" x14ac:dyDescent="0.25">
      <c r="A9" s="7"/>
      <c r="B9" s="7"/>
      <c r="C9" s="7"/>
      <c r="D9" s="7"/>
      <c r="E9" s="7"/>
      <c r="F9" s="8"/>
      <c r="G9" s="5" t="s">
        <v>10</v>
      </c>
      <c r="H9" s="5">
        <v>13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</row>
    <row r="10" spans="1:33" x14ac:dyDescent="0.25">
      <c r="A10" s="7"/>
      <c r="B10" s="7"/>
      <c r="C10" s="7"/>
      <c r="D10" s="7"/>
      <c r="E10" s="7"/>
      <c r="F10" s="8"/>
      <c r="G10" s="5" t="s">
        <v>11</v>
      </c>
      <c r="H10" s="5">
        <v>21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</row>
    <row r="11" spans="1:33" x14ac:dyDescent="0.25">
      <c r="A11" s="7"/>
      <c r="B11" s="7"/>
      <c r="C11" s="7"/>
      <c r="D11" s="7"/>
      <c r="E11" s="7"/>
      <c r="F11" s="8"/>
      <c r="G11" s="5" t="s">
        <v>12</v>
      </c>
      <c r="H11" s="5">
        <v>34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</row>
    <row r="12" spans="1:33" x14ac:dyDescent="0.25">
      <c r="A12" s="7"/>
      <c r="B12" s="7"/>
      <c r="C12" s="7"/>
      <c r="D12" s="7"/>
      <c r="E12" s="7"/>
      <c r="F12" s="8"/>
      <c r="G12" s="5" t="s">
        <v>13</v>
      </c>
      <c r="H12" s="5">
        <v>55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</row>
    <row r="13" spans="1:33" x14ac:dyDescent="0.25">
      <c r="A13" s="7"/>
      <c r="B13" s="7"/>
      <c r="C13" s="7"/>
      <c r="D13" s="7"/>
      <c r="E13" s="7"/>
      <c r="F13" s="8"/>
      <c r="G13" s="5" t="s">
        <v>14</v>
      </c>
      <c r="H13" s="5">
        <v>89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</row>
    <row r="14" spans="1:33" x14ac:dyDescent="0.25">
      <c r="A14" s="7"/>
      <c r="B14" s="7"/>
      <c r="C14" s="7"/>
      <c r="D14" s="7"/>
      <c r="E14" s="7"/>
      <c r="F14" s="8"/>
      <c r="G14" s="5" t="s">
        <v>15</v>
      </c>
      <c r="H14" s="5">
        <v>144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</row>
    <row r="15" spans="1:33" x14ac:dyDescent="0.25">
      <c r="A15" s="7"/>
      <c r="B15" s="7"/>
      <c r="C15" s="7"/>
      <c r="D15" s="7"/>
      <c r="E15" s="7"/>
      <c r="F15" s="8"/>
      <c r="G15" s="5" t="s">
        <v>16</v>
      </c>
      <c r="H15" s="5">
        <v>233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</row>
    <row r="16" spans="1:33" x14ac:dyDescent="0.25">
      <c r="A16" s="7"/>
      <c r="B16" s="7"/>
      <c r="C16" s="7"/>
      <c r="D16" s="7"/>
      <c r="E16" s="7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</row>
    <row r="17" spans="1:33" x14ac:dyDescent="0.25">
      <c r="A17" s="7"/>
      <c r="B17" s="7"/>
      <c r="C17" s="7"/>
      <c r="D17" s="7"/>
      <c r="E17" s="7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</row>
    <row r="18" spans="1:33" x14ac:dyDescent="0.25">
      <c r="A18" s="7"/>
      <c r="B18" s="7"/>
      <c r="C18" s="7"/>
      <c r="D18" s="7"/>
      <c r="E18" s="7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</row>
    <row r="19" spans="1:33" x14ac:dyDescent="0.25">
      <c r="A19" s="7"/>
      <c r="B19" s="7"/>
      <c r="C19" s="7"/>
      <c r="D19" s="7"/>
      <c r="E19" s="7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</row>
    <row r="20" spans="1:33" x14ac:dyDescent="0.25">
      <c r="A20" s="7"/>
      <c r="B20" s="7"/>
      <c r="C20" s="7"/>
      <c r="D20" s="7"/>
      <c r="E20" s="7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</row>
    <row r="21" spans="1:33" x14ac:dyDescent="0.25">
      <c r="A21" s="7"/>
      <c r="B21" s="7"/>
      <c r="C21" s="7"/>
      <c r="D21" s="7"/>
      <c r="E21" s="7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</row>
    <row r="22" spans="1:33" x14ac:dyDescent="0.25">
      <c r="A22" s="7"/>
      <c r="B22" s="7"/>
      <c r="C22" s="7"/>
      <c r="D22" s="7"/>
      <c r="E22" s="7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</row>
    <row r="23" spans="1:33" x14ac:dyDescent="0.25">
      <c r="A23" s="7"/>
      <c r="B23" s="7"/>
      <c r="C23" s="7"/>
      <c r="D23" s="7"/>
      <c r="E23" s="7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</row>
    <row r="24" spans="1:33" x14ac:dyDescent="0.25">
      <c r="A24" s="7"/>
      <c r="B24" s="7"/>
      <c r="C24" s="7"/>
      <c r="D24" s="7"/>
      <c r="E24" s="7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</row>
    <row r="25" spans="1:33" x14ac:dyDescent="0.25">
      <c r="A25" s="7"/>
      <c r="B25" s="7"/>
      <c r="C25" s="7"/>
      <c r="D25" s="7"/>
      <c r="E25" s="7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</row>
    <row r="26" spans="1:33" x14ac:dyDescent="0.25">
      <c r="A26" s="7"/>
      <c r="B26" s="7"/>
      <c r="C26" s="7"/>
      <c r="D26" s="7"/>
      <c r="E26" s="7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</row>
    <row r="27" spans="1:33" x14ac:dyDescent="0.25">
      <c r="A27" s="7"/>
      <c r="B27" s="7"/>
      <c r="C27" s="7"/>
      <c r="D27" s="7"/>
      <c r="E27" s="7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</row>
    <row r="28" spans="1:33" x14ac:dyDescent="0.25">
      <c r="A28" s="7"/>
      <c r="B28" s="7"/>
      <c r="C28" s="7"/>
      <c r="D28" s="7"/>
      <c r="E28" s="7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</row>
    <row r="29" spans="1:33" x14ac:dyDescent="0.25">
      <c r="A29" s="7"/>
      <c r="B29" s="7"/>
      <c r="C29" s="7"/>
      <c r="D29" s="7"/>
      <c r="E29" s="7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</row>
    <row r="30" spans="1:33" x14ac:dyDescent="0.25">
      <c r="A30" s="7"/>
      <c r="B30" s="7"/>
      <c r="C30" s="7"/>
      <c r="D30" s="7"/>
      <c r="E30" s="7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</row>
    <row r="31" spans="1:33" x14ac:dyDescent="0.25">
      <c r="A31" s="7"/>
      <c r="B31" s="7"/>
      <c r="C31" s="7"/>
      <c r="D31" s="7"/>
      <c r="E31" s="7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</row>
    <row r="32" spans="1:33" x14ac:dyDescent="0.25">
      <c r="A32" s="7"/>
      <c r="B32" s="7"/>
      <c r="C32" s="7"/>
      <c r="D32" s="7"/>
      <c r="E32" s="7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</row>
    <row r="33" spans="1:33" x14ac:dyDescent="0.25">
      <c r="A33" s="7"/>
      <c r="B33" s="7"/>
      <c r="C33" s="7"/>
      <c r="D33" s="7"/>
      <c r="E33" s="7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</row>
    <row r="34" spans="1:33" x14ac:dyDescent="0.25">
      <c r="A34" s="7"/>
      <c r="B34" s="7"/>
      <c r="C34" s="7"/>
      <c r="D34" s="7"/>
      <c r="E34" s="7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</row>
    <row r="35" spans="1:33" s="8" customFormat="1" x14ac:dyDescent="0.25">
      <c r="A35" s="7"/>
      <c r="B35" s="7"/>
      <c r="C35" s="7"/>
      <c r="D35" s="7"/>
      <c r="E35" s="7"/>
    </row>
    <row r="36" spans="1:33" s="8" customFormat="1" x14ac:dyDescent="0.25">
      <c r="A36" s="7"/>
      <c r="B36" s="7"/>
      <c r="C36" s="7"/>
      <c r="D36" s="7"/>
      <c r="E36" s="7"/>
    </row>
    <row r="37" spans="1:33" s="8" customFormat="1" x14ac:dyDescent="0.25">
      <c r="A37" s="7"/>
      <c r="B37" s="7"/>
      <c r="C37" s="7"/>
      <c r="D37" s="7"/>
      <c r="E37" s="7"/>
    </row>
    <row r="38" spans="1:33" s="8" customFormat="1" x14ac:dyDescent="0.25">
      <c r="A38" s="7"/>
      <c r="B38" s="7"/>
      <c r="C38" s="7"/>
      <c r="D38" s="7"/>
      <c r="E38" s="7"/>
    </row>
    <row r="39" spans="1:33" s="8" customFormat="1" x14ac:dyDescent="0.25">
      <c r="A39" s="7"/>
      <c r="B39" s="7"/>
      <c r="C39" s="7"/>
      <c r="D39" s="7"/>
      <c r="E39" s="7"/>
    </row>
    <row r="40" spans="1:33" s="8" customFormat="1" x14ac:dyDescent="0.25">
      <c r="A40" s="7"/>
      <c r="B40" s="7"/>
      <c r="C40" s="7"/>
      <c r="D40" s="7"/>
      <c r="E40" s="7"/>
    </row>
    <row r="41" spans="1:33" s="8" customFormat="1" x14ac:dyDescent="0.25">
      <c r="A41" s="7"/>
      <c r="B41" s="7"/>
      <c r="C41" s="7"/>
      <c r="D41" s="7"/>
      <c r="E41" s="7"/>
    </row>
    <row r="42" spans="1:33" s="8" customFormat="1" x14ac:dyDescent="0.25">
      <c r="A42" s="7"/>
      <c r="B42" s="7"/>
      <c r="C42" s="7"/>
      <c r="D42" s="7"/>
      <c r="E42" s="7"/>
    </row>
    <row r="43" spans="1:33" s="8" customFormat="1" x14ac:dyDescent="0.25">
      <c r="A43" s="7"/>
      <c r="B43" s="7"/>
      <c r="C43" s="7"/>
      <c r="D43" s="7"/>
      <c r="E43" s="7"/>
    </row>
    <row r="44" spans="1:33" s="8" customFormat="1" x14ac:dyDescent="0.25">
      <c r="A44" s="7"/>
      <c r="B44" s="7"/>
      <c r="C44" s="7"/>
      <c r="D44" s="7"/>
      <c r="E44" s="7"/>
    </row>
    <row r="45" spans="1:33" s="8" customFormat="1" x14ac:dyDescent="0.25">
      <c r="A45" s="7"/>
      <c r="B45" s="7"/>
      <c r="C45" s="7"/>
      <c r="D45" s="7"/>
      <c r="E45" s="7"/>
    </row>
    <row r="46" spans="1:33" s="8" customFormat="1" x14ac:dyDescent="0.25">
      <c r="A46" s="7"/>
      <c r="B46" s="7"/>
      <c r="C46" s="7"/>
      <c r="D46" s="7"/>
      <c r="E46" s="7"/>
    </row>
    <row r="47" spans="1:33" s="8" customFormat="1" x14ac:dyDescent="0.25">
      <c r="A47" s="7"/>
      <c r="B47" s="7"/>
      <c r="C47" s="7"/>
      <c r="D47" s="7"/>
      <c r="E47" s="7"/>
    </row>
    <row r="48" spans="1:33" s="8" customFormat="1" x14ac:dyDescent="0.25">
      <c r="A48" s="7"/>
      <c r="B48" s="7"/>
      <c r="C48" s="7"/>
      <c r="D48" s="7"/>
      <c r="E48" s="7"/>
    </row>
    <row r="49" spans="1:5" s="8" customFormat="1" x14ac:dyDescent="0.25">
      <c r="A49" s="7"/>
      <c r="B49" s="7"/>
      <c r="C49" s="7"/>
      <c r="D49" s="7"/>
      <c r="E49" s="7"/>
    </row>
    <row r="50" spans="1:5" s="8" customFormat="1" x14ac:dyDescent="0.25">
      <c r="A50" s="7"/>
      <c r="B50" s="7"/>
      <c r="C50" s="7"/>
      <c r="D50" s="7"/>
      <c r="E50" s="7"/>
    </row>
    <row r="51" spans="1:5" s="8" customFormat="1" x14ac:dyDescent="0.25">
      <c r="A51" s="7"/>
      <c r="B51" s="7"/>
      <c r="C51" s="7"/>
      <c r="D51" s="7"/>
      <c r="E51" s="7"/>
    </row>
    <row r="52" spans="1:5" s="8" customFormat="1" x14ac:dyDescent="0.25">
      <c r="A52" s="7"/>
      <c r="B52" s="7"/>
      <c r="C52" s="7"/>
      <c r="D52" s="7"/>
      <c r="E52" s="7"/>
    </row>
    <row r="53" spans="1:5" s="8" customFormat="1" x14ac:dyDescent="0.25">
      <c r="A53" s="7"/>
      <c r="B53" s="7"/>
      <c r="C53" s="7"/>
      <c r="D53" s="7"/>
      <c r="E53" s="7"/>
    </row>
    <row r="54" spans="1:5" s="8" customFormat="1" x14ac:dyDescent="0.25">
      <c r="A54" s="7"/>
      <c r="B54" s="7"/>
      <c r="C54" s="7"/>
      <c r="D54" s="7"/>
      <c r="E54" s="7"/>
    </row>
    <row r="55" spans="1:5" s="8" customFormat="1" x14ac:dyDescent="0.25">
      <c r="A55" s="7"/>
      <c r="B55" s="7"/>
      <c r="C55" s="7"/>
      <c r="D55" s="7"/>
      <c r="E55" s="7"/>
    </row>
    <row r="56" spans="1:5" s="8" customFormat="1" x14ac:dyDescent="0.25">
      <c r="A56" s="7"/>
      <c r="B56" s="7"/>
      <c r="C56" s="7"/>
      <c r="D56" s="7"/>
      <c r="E56" s="7"/>
    </row>
    <row r="57" spans="1:5" s="8" customFormat="1" x14ac:dyDescent="0.25">
      <c r="A57" s="7"/>
      <c r="B57" s="7"/>
      <c r="C57" s="7"/>
      <c r="D57" s="7"/>
      <c r="E57" s="7"/>
    </row>
    <row r="58" spans="1:5" s="8" customFormat="1" x14ac:dyDescent="0.25">
      <c r="A58" s="7"/>
      <c r="B58" s="7"/>
      <c r="C58" s="7"/>
      <c r="D58" s="7"/>
      <c r="E58" s="7"/>
    </row>
    <row r="59" spans="1:5" s="8" customFormat="1" x14ac:dyDescent="0.25">
      <c r="A59" s="7"/>
      <c r="B59" s="7"/>
      <c r="C59" s="7"/>
      <c r="D59" s="7"/>
      <c r="E59" s="7"/>
    </row>
    <row r="60" spans="1:5" s="8" customFormat="1" x14ac:dyDescent="0.25">
      <c r="A60" s="7"/>
      <c r="B60" s="7"/>
      <c r="C60" s="7"/>
      <c r="D60" s="7"/>
      <c r="E60" s="7"/>
    </row>
    <row r="61" spans="1:5" s="8" customFormat="1" x14ac:dyDescent="0.25">
      <c r="A61" s="7"/>
      <c r="B61" s="7"/>
      <c r="C61" s="7"/>
      <c r="D61" s="7"/>
      <c r="E61" s="7"/>
    </row>
    <row r="62" spans="1:5" s="8" customFormat="1" x14ac:dyDescent="0.25">
      <c r="A62" s="7"/>
      <c r="B62" s="7"/>
      <c r="C62" s="7"/>
      <c r="D62" s="7"/>
      <c r="E62" s="7"/>
    </row>
    <row r="63" spans="1:5" s="8" customFormat="1" x14ac:dyDescent="0.25">
      <c r="A63" s="7"/>
      <c r="B63" s="7"/>
      <c r="C63" s="7"/>
      <c r="D63" s="7"/>
      <c r="E63" s="7"/>
    </row>
    <row r="64" spans="1:5" s="8" customFormat="1" x14ac:dyDescent="0.25">
      <c r="A64" s="7"/>
      <c r="B64" s="7"/>
      <c r="C64" s="7"/>
      <c r="D64" s="7"/>
      <c r="E64" s="7"/>
    </row>
    <row r="65" spans="1:5" s="8" customFormat="1" x14ac:dyDescent="0.25">
      <c r="A65" s="7"/>
      <c r="B65" s="7"/>
      <c r="C65" s="7"/>
      <c r="D65" s="7"/>
      <c r="E65" s="7"/>
    </row>
    <row r="66" spans="1:5" s="8" customFormat="1" x14ac:dyDescent="0.25">
      <c r="A66" s="7"/>
      <c r="B66" s="7"/>
      <c r="C66" s="7"/>
      <c r="D66" s="7"/>
      <c r="E66" s="7"/>
    </row>
    <row r="67" spans="1:5" s="8" customFormat="1" x14ac:dyDescent="0.25">
      <c r="A67" s="7"/>
      <c r="B67" s="7"/>
      <c r="C67" s="7"/>
      <c r="D67" s="7"/>
      <c r="E67" s="7"/>
    </row>
    <row r="68" spans="1:5" s="8" customFormat="1" x14ac:dyDescent="0.25">
      <c r="A68" s="7"/>
      <c r="B68" s="7"/>
      <c r="C68" s="7"/>
      <c r="D68" s="7"/>
      <c r="E68" s="7"/>
    </row>
    <row r="69" spans="1:5" s="8" customFormat="1" x14ac:dyDescent="0.25">
      <c r="A69" s="7"/>
      <c r="B69" s="7"/>
      <c r="C69" s="7"/>
      <c r="D69" s="7"/>
      <c r="E69" s="7"/>
    </row>
    <row r="70" spans="1:5" s="8" customFormat="1" x14ac:dyDescent="0.25"/>
    <row r="71" spans="1:5" s="8" customFormat="1" x14ac:dyDescent="0.25"/>
    <row r="72" spans="1:5" s="8" customFormat="1" x14ac:dyDescent="0.25"/>
    <row r="73" spans="1:5" s="8" customFormat="1" x14ac:dyDescent="0.25"/>
    <row r="74" spans="1:5" s="8" customFormat="1" x14ac:dyDescent="0.25"/>
    <row r="75" spans="1:5" s="8" customFormat="1" x14ac:dyDescent="0.25"/>
    <row r="76" spans="1:5" s="8" customFormat="1" x14ac:dyDescent="0.25"/>
    <row r="77" spans="1:5" s="8" customFormat="1" x14ac:dyDescent="0.25"/>
    <row r="78" spans="1:5" s="8" customFormat="1" x14ac:dyDescent="0.25"/>
    <row r="79" spans="1:5" s="8" customFormat="1" x14ac:dyDescent="0.25"/>
    <row r="80" spans="1:5" s="8" customFormat="1" x14ac:dyDescent="0.25"/>
    <row r="81" s="8" customFormat="1" x14ac:dyDescent="0.25"/>
    <row r="82" s="8" customFormat="1" x14ac:dyDescent="0.25"/>
    <row r="83" s="8" customFormat="1" x14ac:dyDescent="0.25"/>
    <row r="84" s="8" customFormat="1" x14ac:dyDescent="0.25"/>
    <row r="85" s="8" customFormat="1" x14ac:dyDescent="0.25"/>
    <row r="86" s="8" customFormat="1" x14ac:dyDescent="0.25"/>
    <row r="87" s="8" customFormat="1" x14ac:dyDescent="0.25"/>
    <row r="88" s="8" customFormat="1" x14ac:dyDescent="0.25"/>
    <row r="89" s="8" customFormat="1" x14ac:dyDescent="0.25"/>
    <row r="90" s="8" customFormat="1" x14ac:dyDescent="0.25"/>
    <row r="91" s="8" customFormat="1" x14ac:dyDescent="0.25"/>
    <row r="92" s="8" customFormat="1" x14ac:dyDescent="0.25"/>
    <row r="93" s="8" customFormat="1" x14ac:dyDescent="0.25"/>
    <row r="94" s="8" customFormat="1" x14ac:dyDescent="0.25"/>
    <row r="95" s="8" customFormat="1" x14ac:dyDescent="0.25"/>
    <row r="96" s="8" customFormat="1" x14ac:dyDescent="0.25"/>
    <row r="97" s="8" customFormat="1" x14ac:dyDescent="0.25"/>
    <row r="98" s="8" customFormat="1" x14ac:dyDescent="0.25"/>
    <row r="99" s="8" customFormat="1" x14ac:dyDescent="0.25"/>
    <row r="100" s="8" customFormat="1" x14ac:dyDescent="0.25"/>
    <row r="101" s="8" customFormat="1" x14ac:dyDescent="0.25"/>
    <row r="102" s="8" customFormat="1" x14ac:dyDescent="0.25"/>
    <row r="103" s="8" customFormat="1" x14ac:dyDescent="0.25"/>
    <row r="104" s="8" customFormat="1" x14ac:dyDescent="0.25"/>
    <row r="105" s="8" customFormat="1" x14ac:dyDescent="0.25"/>
    <row r="106" s="8" customFormat="1" x14ac:dyDescent="0.25"/>
    <row r="107" s="8" customFormat="1" x14ac:dyDescent="0.25"/>
    <row r="108" s="8" customFormat="1" x14ac:dyDescent="0.25"/>
    <row r="109" s="8" customFormat="1" x14ac:dyDescent="0.25"/>
    <row r="110" s="8" customFormat="1" x14ac:dyDescent="0.25"/>
    <row r="111" s="8" customFormat="1" x14ac:dyDescent="0.25"/>
    <row r="112" s="8" customFormat="1" x14ac:dyDescent="0.25"/>
    <row r="113" s="8" customFormat="1" x14ac:dyDescent="0.25"/>
    <row r="114" s="8" customFormat="1" x14ac:dyDescent="0.25"/>
    <row r="115" s="8" customFormat="1" x14ac:dyDescent="0.25"/>
    <row r="116" s="8" customFormat="1" x14ac:dyDescent="0.25"/>
    <row r="117" s="8" customFormat="1" x14ac:dyDescent="0.25"/>
    <row r="118" s="8" customFormat="1" x14ac:dyDescent="0.25"/>
    <row r="119" s="8" customFormat="1" x14ac:dyDescent="0.25"/>
    <row r="120" s="8" customFormat="1" x14ac:dyDescent="0.25"/>
    <row r="121" s="8" customFormat="1" x14ac:dyDescent="0.25"/>
    <row r="122" s="8" customFormat="1" x14ac:dyDescent="0.25"/>
    <row r="123" s="8" customFormat="1" x14ac:dyDescent="0.25"/>
    <row r="124" s="8" customFormat="1" x14ac:dyDescent="0.25"/>
    <row r="125" s="8" customFormat="1" x14ac:dyDescent="0.25"/>
    <row r="126" s="8" customFormat="1" x14ac:dyDescent="0.25"/>
    <row r="127" s="8" customFormat="1" x14ac:dyDescent="0.25"/>
    <row r="128" s="8" customFormat="1" x14ac:dyDescent="0.25"/>
    <row r="129" s="8" customFormat="1" x14ac:dyDescent="0.25"/>
    <row r="130" s="8" customFormat="1" x14ac:dyDescent="0.25"/>
    <row r="131" s="8" customFormat="1" x14ac:dyDescent="0.25"/>
    <row r="132" s="8" customFormat="1" x14ac:dyDescent="0.25"/>
    <row r="133" s="8" customFormat="1" x14ac:dyDescent="0.25"/>
    <row r="134" s="8" customFormat="1" x14ac:dyDescent="0.25"/>
    <row r="135" s="8" customFormat="1" x14ac:dyDescent="0.25"/>
    <row r="136" s="8" customFormat="1" x14ac:dyDescent="0.25"/>
    <row r="137" s="8" customFormat="1" x14ac:dyDescent="0.25"/>
    <row r="138" s="8" customFormat="1" x14ac:dyDescent="0.25"/>
    <row r="139" s="8" customFormat="1" x14ac:dyDescent="0.25"/>
    <row r="140" s="8" customFormat="1" x14ac:dyDescent="0.25"/>
    <row r="141" s="8" customFormat="1" x14ac:dyDescent="0.25"/>
    <row r="142" s="8" customFormat="1" x14ac:dyDescent="0.25"/>
    <row r="143" s="8" customFormat="1" x14ac:dyDescent="0.25"/>
    <row r="144" s="8" customFormat="1" x14ac:dyDescent="0.25"/>
    <row r="145" s="8" customFormat="1" x14ac:dyDescent="0.25"/>
    <row r="146" s="8" customFormat="1" x14ac:dyDescent="0.25"/>
    <row r="147" s="8" customFormat="1" x14ac:dyDescent="0.25"/>
    <row r="148" s="8" customFormat="1" x14ac:dyDescent="0.25"/>
    <row r="149" s="8" customFormat="1" x14ac:dyDescent="0.25"/>
    <row r="150" s="8" customFormat="1" x14ac:dyDescent="0.25"/>
    <row r="151" s="8" customFormat="1" x14ac:dyDescent="0.25"/>
    <row r="152" s="8" customFormat="1" x14ac:dyDescent="0.25"/>
    <row r="153" s="8" customFormat="1" x14ac:dyDescent="0.25"/>
    <row r="154" s="8" customFormat="1" x14ac:dyDescent="0.25"/>
    <row r="155" s="8" customFormat="1" x14ac:dyDescent="0.25"/>
    <row r="156" s="8" customFormat="1" x14ac:dyDescent="0.25"/>
    <row r="157" s="8" customFormat="1" x14ac:dyDescent="0.25"/>
    <row r="158" s="8" customFormat="1" x14ac:dyDescent="0.25"/>
    <row r="159" s="8" customFormat="1" x14ac:dyDescent="0.25"/>
    <row r="160" s="8" customFormat="1" x14ac:dyDescent="0.25"/>
    <row r="161" s="8" customFormat="1" x14ac:dyDescent="0.25"/>
    <row r="162" s="8" customFormat="1" x14ac:dyDescent="0.25"/>
    <row r="163" s="8" customFormat="1" x14ac:dyDescent="0.25"/>
    <row r="164" s="8" customFormat="1" x14ac:dyDescent="0.25"/>
    <row r="165" s="8" customFormat="1" x14ac:dyDescent="0.25"/>
    <row r="166" s="8" customFormat="1" x14ac:dyDescent="0.25"/>
    <row r="167" s="8" customFormat="1" x14ac:dyDescent="0.25"/>
    <row r="168" s="8" customFormat="1" x14ac:dyDescent="0.25"/>
    <row r="169" s="8" customFormat="1" x14ac:dyDescent="0.25"/>
    <row r="170" s="8" customFormat="1" x14ac:dyDescent="0.25"/>
    <row r="171" s="8" customFormat="1" x14ac:dyDescent="0.25"/>
    <row r="172" s="8" customFormat="1" x14ac:dyDescent="0.25"/>
    <row r="173" s="8" customFormat="1" x14ac:dyDescent="0.25"/>
    <row r="174" s="8" customFormat="1" x14ac:dyDescent="0.25"/>
    <row r="175" s="8" customFormat="1" x14ac:dyDescent="0.25"/>
    <row r="176" s="8" customFormat="1" x14ac:dyDescent="0.25"/>
    <row r="177" s="8" customFormat="1" x14ac:dyDescent="0.25"/>
    <row r="178" s="8" customFormat="1" x14ac:dyDescent="0.25"/>
    <row r="179" s="8" customFormat="1" x14ac:dyDescent="0.25"/>
    <row r="180" s="8" customFormat="1" x14ac:dyDescent="0.25"/>
    <row r="181" s="8" customFormat="1" x14ac:dyDescent="0.25"/>
    <row r="182" s="8" customFormat="1" x14ac:dyDescent="0.25"/>
    <row r="183" s="8" customFormat="1" x14ac:dyDescent="0.25"/>
    <row r="184" s="8" customFormat="1" x14ac:dyDescent="0.25"/>
    <row r="185" s="8" customFormat="1" x14ac:dyDescent="0.25"/>
    <row r="186" s="8" customFormat="1" x14ac:dyDescent="0.25"/>
    <row r="187" s="8" customFormat="1" x14ac:dyDescent="0.25"/>
    <row r="188" s="8" customFormat="1" x14ac:dyDescent="0.25"/>
    <row r="189" s="8" customFormat="1" x14ac:dyDescent="0.25"/>
    <row r="190" s="8" customFormat="1" x14ac:dyDescent="0.25"/>
    <row r="191" s="8" customFormat="1" x14ac:dyDescent="0.25"/>
    <row r="192" s="8" customFormat="1" x14ac:dyDescent="0.25"/>
    <row r="193" s="8" customFormat="1" x14ac:dyDescent="0.25"/>
    <row r="194" s="8" customFormat="1" x14ac:dyDescent="0.25"/>
    <row r="195" s="8" customFormat="1" x14ac:dyDescent="0.25"/>
    <row r="196" s="8" customFormat="1" x14ac:dyDescent="0.25"/>
    <row r="197" s="8" customFormat="1" x14ac:dyDescent="0.25"/>
    <row r="198" s="8" customFormat="1" x14ac:dyDescent="0.25"/>
    <row r="199" s="8" customFormat="1" x14ac:dyDescent="0.25"/>
    <row r="200" s="8" customFormat="1" x14ac:dyDescent="0.25"/>
    <row r="201" s="8" customFormat="1" x14ac:dyDescent="0.25"/>
    <row r="202" s="8" customFormat="1" x14ac:dyDescent="0.25"/>
    <row r="203" s="8" customFormat="1" x14ac:dyDescent="0.25"/>
    <row r="204" s="8" customFormat="1" x14ac:dyDescent="0.25"/>
    <row r="205" s="8" customFormat="1" x14ac:dyDescent="0.25"/>
    <row r="206" s="8" customFormat="1" x14ac:dyDescent="0.25"/>
    <row r="207" s="8" customFormat="1" x14ac:dyDescent="0.25"/>
    <row r="208" s="8" customFormat="1" x14ac:dyDescent="0.25"/>
    <row r="209" s="8" customFormat="1" x14ac:dyDescent="0.25"/>
    <row r="210" s="8" customFormat="1" x14ac:dyDescent="0.25"/>
    <row r="211" s="8" customFormat="1" x14ac:dyDescent="0.25"/>
    <row r="212" s="8" customFormat="1" x14ac:dyDescent="0.25"/>
    <row r="213" s="8" customFormat="1" x14ac:dyDescent="0.25"/>
    <row r="214" s="8" customFormat="1" x14ac:dyDescent="0.25"/>
    <row r="215" s="8" customFormat="1" x14ac:dyDescent="0.25"/>
    <row r="216" s="8" customFormat="1" x14ac:dyDescent="0.25"/>
    <row r="217" s="8" customFormat="1" x14ac:dyDescent="0.25"/>
    <row r="218" s="8" customFormat="1" x14ac:dyDescent="0.25"/>
    <row r="219" s="8" customFormat="1" x14ac:dyDescent="0.25"/>
    <row r="220" s="8" customFormat="1" x14ac:dyDescent="0.25"/>
    <row r="221" s="8" customFormat="1" x14ac:dyDescent="0.25"/>
    <row r="222" s="8" customFormat="1" x14ac:dyDescent="0.25"/>
    <row r="223" s="8" customFormat="1" x14ac:dyDescent="0.25"/>
    <row r="224" s="8" customFormat="1" x14ac:dyDescent="0.25"/>
    <row r="225" s="8" customFormat="1" x14ac:dyDescent="0.25"/>
    <row r="226" s="8" customFormat="1" x14ac:dyDescent="0.25"/>
    <row r="227" s="8" customFormat="1" x14ac:dyDescent="0.25"/>
    <row r="228" s="8" customFormat="1" x14ac:dyDescent="0.25"/>
    <row r="229" s="8" customFormat="1" x14ac:dyDescent="0.25"/>
    <row r="230" s="8" customFormat="1" x14ac:dyDescent="0.25"/>
    <row r="231" s="8" customFormat="1" x14ac:dyDescent="0.25"/>
    <row r="232" s="8" customFormat="1" x14ac:dyDescent="0.25"/>
    <row r="233" s="8" customFormat="1" x14ac:dyDescent="0.25"/>
    <row r="234" s="8" customFormat="1" x14ac:dyDescent="0.25"/>
    <row r="235" s="8" customFormat="1" x14ac:dyDescent="0.25"/>
    <row r="236" s="8" customFormat="1" x14ac:dyDescent="0.25"/>
    <row r="237" s="8" customFormat="1" x14ac:dyDescent="0.25"/>
    <row r="238" s="8" customFormat="1" x14ac:dyDescent="0.25"/>
    <row r="239" s="8" customFormat="1" x14ac:dyDescent="0.25"/>
    <row r="240" s="8" customFormat="1" x14ac:dyDescent="0.25"/>
    <row r="241" s="8" customFormat="1" x14ac:dyDescent="0.25"/>
    <row r="242" s="8" customFormat="1" x14ac:dyDescent="0.25"/>
    <row r="243" s="8" customFormat="1" x14ac:dyDescent="0.25"/>
    <row r="244" s="8" customFormat="1" x14ac:dyDescent="0.25"/>
    <row r="245" s="8" customFormat="1" x14ac:dyDescent="0.25"/>
    <row r="246" s="8" customFormat="1" x14ac:dyDescent="0.25"/>
    <row r="247" s="8" customFormat="1" x14ac:dyDescent="0.25"/>
    <row r="248" s="8" customFormat="1" x14ac:dyDescent="0.25"/>
    <row r="249" s="8" customFormat="1" x14ac:dyDescent="0.25"/>
    <row r="250" s="8" customFormat="1" x14ac:dyDescent="0.25"/>
    <row r="251" s="8" customFormat="1" x14ac:dyDescent="0.25"/>
    <row r="252" s="8" customFormat="1" x14ac:dyDescent="0.25"/>
    <row r="253" s="8" customFormat="1" x14ac:dyDescent="0.25"/>
    <row r="254" s="8" customFormat="1" x14ac:dyDescent="0.25"/>
    <row r="255" s="8" customFormat="1" x14ac:dyDescent="0.25"/>
    <row r="256" s="8" customFormat="1" x14ac:dyDescent="0.25"/>
    <row r="257" s="8" customFormat="1" x14ac:dyDescent="0.25"/>
    <row r="258" s="8" customFormat="1" x14ac:dyDescent="0.25"/>
    <row r="259" s="8" customFormat="1" x14ac:dyDescent="0.25"/>
    <row r="260" s="8" customFormat="1" x14ac:dyDescent="0.25"/>
    <row r="261" s="8" customFormat="1" x14ac:dyDescent="0.25"/>
    <row r="262" s="8" customFormat="1" x14ac:dyDescent="0.25"/>
    <row r="263" s="8" customFormat="1" x14ac:dyDescent="0.25"/>
    <row r="264" s="8" customFormat="1" x14ac:dyDescent="0.25"/>
    <row r="265" s="8" customFormat="1" x14ac:dyDescent="0.25"/>
    <row r="266" s="8" customFormat="1" x14ac:dyDescent="0.25"/>
    <row r="267" s="8" customFormat="1" x14ac:dyDescent="0.25"/>
    <row r="268" s="8" customFormat="1" x14ac:dyDescent="0.25"/>
    <row r="269" s="8" customFormat="1" x14ac:dyDescent="0.25"/>
    <row r="270" s="8" customFormat="1" x14ac:dyDescent="0.25"/>
    <row r="271" s="8" customFormat="1" x14ac:dyDescent="0.25"/>
    <row r="272" s="8" customFormat="1" x14ac:dyDescent="0.25"/>
    <row r="273" s="8" customFormat="1" x14ac:dyDescent="0.25"/>
    <row r="274" s="8" customFormat="1" x14ac:dyDescent="0.25"/>
    <row r="275" s="8" customFormat="1" x14ac:dyDescent="0.25"/>
    <row r="276" s="8" customFormat="1" x14ac:dyDescent="0.25"/>
    <row r="277" s="8" customFormat="1" x14ac:dyDescent="0.25"/>
    <row r="278" s="8" customFormat="1" x14ac:dyDescent="0.25"/>
    <row r="279" s="8" customFormat="1" x14ac:dyDescent="0.25"/>
    <row r="280" s="8" customFormat="1" x14ac:dyDescent="0.25"/>
    <row r="281" s="8" customFormat="1" x14ac:dyDescent="0.25"/>
    <row r="282" s="8" customFormat="1" x14ac:dyDescent="0.25"/>
    <row r="283" s="8" customFormat="1" x14ac:dyDescent="0.25"/>
    <row r="284" s="8" customFormat="1" x14ac:dyDescent="0.25"/>
    <row r="285" s="8" customFormat="1" x14ac:dyDescent="0.25"/>
    <row r="286" s="8" customFormat="1" x14ac:dyDescent="0.25"/>
    <row r="287" s="8" customFormat="1" x14ac:dyDescent="0.25"/>
    <row r="288" s="8" customFormat="1" x14ac:dyDescent="0.25"/>
    <row r="289" s="8" customFormat="1" x14ac:dyDescent="0.25"/>
    <row r="290" s="8" customFormat="1" x14ac:dyDescent="0.25"/>
    <row r="291" s="8" customFormat="1" x14ac:dyDescent="0.25"/>
    <row r="292" s="8" customFormat="1" x14ac:dyDescent="0.25"/>
    <row r="293" s="8" customFormat="1" x14ac:dyDescent="0.25"/>
    <row r="294" s="8" customFormat="1" x14ac:dyDescent="0.25"/>
    <row r="295" s="8" customFormat="1" x14ac:dyDescent="0.25"/>
    <row r="296" s="8" customFormat="1" x14ac:dyDescent="0.25"/>
    <row r="297" s="8" customFormat="1" x14ac:dyDescent="0.25"/>
    <row r="298" s="8" customFormat="1" x14ac:dyDescent="0.25"/>
    <row r="299" s="8" customFormat="1" x14ac:dyDescent="0.25"/>
    <row r="300" s="8" customFormat="1" x14ac:dyDescent="0.25"/>
    <row r="301" s="8" customFormat="1" x14ac:dyDescent="0.25"/>
    <row r="302" s="8" customFormat="1" x14ac:dyDescent="0.25"/>
    <row r="303" s="8" customFormat="1" x14ac:dyDescent="0.25"/>
    <row r="304" s="8" customFormat="1" x14ac:dyDescent="0.25"/>
    <row r="305" s="8" customFormat="1" x14ac:dyDescent="0.25"/>
    <row r="306" s="8" customFormat="1" x14ac:dyDescent="0.25"/>
    <row r="307" s="8" customFormat="1" x14ac:dyDescent="0.25"/>
    <row r="308" s="8" customFormat="1" x14ac:dyDescent="0.25"/>
    <row r="309" s="8" customFormat="1" x14ac:dyDescent="0.25"/>
    <row r="310" s="8" customFormat="1" x14ac:dyDescent="0.25"/>
    <row r="311" s="8" customFormat="1" x14ac:dyDescent="0.25"/>
    <row r="312" s="8" customFormat="1" x14ac:dyDescent="0.25"/>
    <row r="313" s="8" customFormat="1" x14ac:dyDescent="0.25"/>
    <row r="314" s="8" customFormat="1" x14ac:dyDescent="0.25"/>
    <row r="315" s="8" customFormat="1" x14ac:dyDescent="0.25"/>
    <row r="316" s="8" customFormat="1" x14ac:dyDescent="0.25"/>
    <row r="317" s="8" customFormat="1" x14ac:dyDescent="0.25"/>
    <row r="318" s="8" customFormat="1" x14ac:dyDescent="0.25"/>
    <row r="319" s="8" customFormat="1" x14ac:dyDescent="0.25"/>
    <row r="320" s="8" customFormat="1" x14ac:dyDescent="0.25"/>
    <row r="321" s="8" customFormat="1" x14ac:dyDescent="0.25"/>
    <row r="322" s="8" customFormat="1" x14ac:dyDescent="0.25"/>
    <row r="323" s="8" customFormat="1" x14ac:dyDescent="0.25"/>
    <row r="324" s="8" customFormat="1" x14ac:dyDescent="0.25"/>
    <row r="325" s="8" customFormat="1" x14ac:dyDescent="0.25"/>
    <row r="326" s="8" customFormat="1" x14ac:dyDescent="0.25"/>
    <row r="327" s="8" customFormat="1" x14ac:dyDescent="0.25"/>
    <row r="328" s="8" customFormat="1" x14ac:dyDescent="0.25"/>
    <row r="329" s="8" customFormat="1" x14ac:dyDescent="0.25"/>
    <row r="330" s="8" customFormat="1" x14ac:dyDescent="0.25"/>
    <row r="331" s="8" customFormat="1" x14ac:dyDescent="0.25"/>
    <row r="332" s="8" customFormat="1" x14ac:dyDescent="0.25"/>
    <row r="333" s="8" customFormat="1" x14ac:dyDescent="0.25"/>
    <row r="334" s="8" customFormat="1" x14ac:dyDescent="0.25"/>
    <row r="335" s="8" customFormat="1" x14ac:dyDescent="0.25"/>
    <row r="336" s="8" customFormat="1" x14ac:dyDescent="0.25"/>
    <row r="337" s="8" customFormat="1" x14ac:dyDescent="0.25"/>
    <row r="338" s="8" customFormat="1" x14ac:dyDescent="0.25"/>
    <row r="339" s="8" customFormat="1" x14ac:dyDescent="0.25"/>
    <row r="340" s="8" customFormat="1" x14ac:dyDescent="0.25"/>
    <row r="341" s="8" customFormat="1" x14ac:dyDescent="0.25"/>
    <row r="342" s="8" customFormat="1" x14ac:dyDescent="0.25"/>
    <row r="343" s="8" customFormat="1" x14ac:dyDescent="0.25"/>
    <row r="344" s="8" customFormat="1" x14ac:dyDescent="0.25"/>
    <row r="345" s="8" customFormat="1" x14ac:dyDescent="0.25"/>
    <row r="346" s="8" customFormat="1" x14ac:dyDescent="0.25"/>
    <row r="347" s="8" customFormat="1" x14ac:dyDescent="0.25"/>
    <row r="348" s="8" customFormat="1" x14ac:dyDescent="0.25"/>
    <row r="349" s="8" customFormat="1" x14ac:dyDescent="0.25"/>
    <row r="350" s="8" customFormat="1" x14ac:dyDescent="0.25"/>
    <row r="351" s="8" customFormat="1" x14ac:dyDescent="0.25"/>
    <row r="352" s="8" customFormat="1" x14ac:dyDescent="0.25"/>
    <row r="353" s="8" customFormat="1" x14ac:dyDescent="0.25"/>
    <row r="354" s="8" customFormat="1" x14ac:dyDescent="0.25"/>
    <row r="355" s="8" customFormat="1" x14ac:dyDescent="0.25"/>
    <row r="356" s="8" customFormat="1" x14ac:dyDescent="0.25"/>
    <row r="357" s="8" customFormat="1" x14ac:dyDescent="0.25"/>
    <row r="358" s="8" customFormat="1" x14ac:dyDescent="0.25"/>
    <row r="359" s="8" customFormat="1" x14ac:dyDescent="0.25"/>
    <row r="360" s="8" customFormat="1" x14ac:dyDescent="0.25"/>
    <row r="361" s="8" customFormat="1" x14ac:dyDescent="0.25"/>
    <row r="362" s="8" customFormat="1" x14ac:dyDescent="0.25"/>
    <row r="363" s="8" customFormat="1" x14ac:dyDescent="0.25"/>
    <row r="364" s="8" customFormat="1" x14ac:dyDescent="0.25"/>
    <row r="365" s="8" customFormat="1" x14ac:dyDescent="0.25"/>
    <row r="366" s="8" customFormat="1" x14ac:dyDescent="0.25"/>
    <row r="367" s="8" customFormat="1" x14ac:dyDescent="0.25"/>
    <row r="368" s="8" customFormat="1" x14ac:dyDescent="0.25"/>
    <row r="369" s="8" customFormat="1" x14ac:dyDescent="0.25"/>
    <row r="370" s="8" customFormat="1" x14ac:dyDescent="0.25"/>
    <row r="371" s="8" customFormat="1" x14ac:dyDescent="0.25"/>
    <row r="372" s="8" customFormat="1" x14ac:dyDescent="0.25"/>
    <row r="373" s="8" customFormat="1" x14ac:dyDescent="0.25"/>
    <row r="374" s="8" customFormat="1" x14ac:dyDescent="0.25"/>
    <row r="375" s="8" customFormat="1" x14ac:dyDescent="0.25"/>
    <row r="376" s="8" customFormat="1" x14ac:dyDescent="0.25"/>
    <row r="377" s="8" customFormat="1" x14ac:dyDescent="0.25"/>
    <row r="378" s="8" customFormat="1" x14ac:dyDescent="0.25"/>
    <row r="379" s="8" customFormat="1" x14ac:dyDescent="0.25"/>
    <row r="380" s="8" customFormat="1" x14ac:dyDescent="0.25"/>
    <row r="381" s="8" customFormat="1" x14ac:dyDescent="0.25"/>
    <row r="382" s="8" customFormat="1" x14ac:dyDescent="0.25"/>
    <row r="383" s="8" customFormat="1" x14ac:dyDescent="0.25"/>
    <row r="384" s="8" customFormat="1" x14ac:dyDescent="0.25"/>
    <row r="385" s="8" customFormat="1" x14ac:dyDescent="0.25"/>
    <row r="386" s="8" customFormat="1" x14ac:dyDescent="0.25"/>
    <row r="387" s="8" customFormat="1" x14ac:dyDescent="0.25"/>
    <row r="388" s="8" customFormat="1" x14ac:dyDescent="0.25"/>
    <row r="389" s="8" customFormat="1" x14ac:dyDescent="0.25"/>
    <row r="390" s="8" customFormat="1" x14ac:dyDescent="0.25"/>
    <row r="391" s="8" customFormat="1" x14ac:dyDescent="0.25"/>
    <row r="392" s="8" customFormat="1" x14ac:dyDescent="0.25"/>
    <row r="393" s="8" customFormat="1" x14ac:dyDescent="0.25"/>
    <row r="394" s="8" customFormat="1" x14ac:dyDescent="0.25"/>
    <row r="395" s="8" customFormat="1" x14ac:dyDescent="0.25"/>
    <row r="396" s="8" customFormat="1" x14ac:dyDescent="0.25"/>
    <row r="397" s="8" customFormat="1" x14ac:dyDescent="0.25"/>
    <row r="398" s="8" customFormat="1" x14ac:dyDescent="0.25"/>
    <row r="399" s="8" customFormat="1" x14ac:dyDescent="0.25"/>
    <row r="400" s="8" customFormat="1" x14ac:dyDescent="0.25"/>
    <row r="401" s="8" customFormat="1" x14ac:dyDescent="0.25"/>
    <row r="402" s="8" customFormat="1" x14ac:dyDescent="0.25"/>
    <row r="403" s="8" customFormat="1" x14ac:dyDescent="0.25"/>
    <row r="404" s="8" customFormat="1" x14ac:dyDescent="0.25"/>
    <row r="405" s="8" customFormat="1" x14ac:dyDescent="0.25"/>
    <row r="406" s="8" customFormat="1" x14ac:dyDescent="0.25"/>
    <row r="407" s="8" customFormat="1" x14ac:dyDescent="0.25"/>
    <row r="408" s="8" customFormat="1" x14ac:dyDescent="0.25"/>
    <row r="409" s="8" customFormat="1" x14ac:dyDescent="0.25"/>
    <row r="410" s="8" customFormat="1" x14ac:dyDescent="0.25"/>
    <row r="411" s="8" customFormat="1" x14ac:dyDescent="0.25"/>
    <row r="412" s="8" customFormat="1" x14ac:dyDescent="0.25"/>
    <row r="413" s="8" customFormat="1" x14ac:dyDescent="0.25"/>
    <row r="414" s="8" customFormat="1" x14ac:dyDescent="0.25"/>
    <row r="415" s="8" customFormat="1" x14ac:dyDescent="0.25"/>
    <row r="416" s="8" customFormat="1" x14ac:dyDescent="0.25"/>
    <row r="417" s="8" customFormat="1" x14ac:dyDescent="0.25"/>
    <row r="418" s="8" customFormat="1" x14ac:dyDescent="0.25"/>
    <row r="419" s="8" customFormat="1" x14ac:dyDescent="0.25"/>
    <row r="420" s="8" customFormat="1" x14ac:dyDescent="0.25"/>
    <row r="421" s="8" customFormat="1" x14ac:dyDescent="0.25"/>
    <row r="422" s="8" customFormat="1" x14ac:dyDescent="0.25"/>
    <row r="423" s="8" customFormat="1" x14ac:dyDescent="0.25"/>
    <row r="424" s="8" customFormat="1" x14ac:dyDescent="0.25"/>
    <row r="425" s="8" customFormat="1" x14ac:dyDescent="0.25"/>
    <row r="426" s="8" customFormat="1" x14ac:dyDescent="0.25"/>
    <row r="427" s="8" customFormat="1" x14ac:dyDescent="0.25"/>
    <row r="428" s="8" customFormat="1" x14ac:dyDescent="0.25"/>
    <row r="429" s="8" customFormat="1" x14ac:dyDescent="0.25"/>
    <row r="430" s="8" customFormat="1" x14ac:dyDescent="0.25"/>
    <row r="431" s="8" customFormat="1" x14ac:dyDescent="0.25"/>
    <row r="432" s="8" customFormat="1" x14ac:dyDescent="0.25"/>
    <row r="433" s="8" customFormat="1" x14ac:dyDescent="0.25"/>
    <row r="434" s="8" customFormat="1" x14ac:dyDescent="0.25"/>
    <row r="435" s="8" customFormat="1" x14ac:dyDescent="0.25"/>
    <row r="436" s="8" customFormat="1" x14ac:dyDescent="0.25"/>
    <row r="437" s="8" customFormat="1" x14ac:dyDescent="0.25"/>
    <row r="438" s="8" customFormat="1" x14ac:dyDescent="0.25"/>
    <row r="439" s="8" customFormat="1" x14ac:dyDescent="0.25"/>
    <row r="440" s="8" customFormat="1" x14ac:dyDescent="0.25"/>
    <row r="441" s="8" customFormat="1" x14ac:dyDescent="0.25"/>
    <row r="442" s="8" customFormat="1" x14ac:dyDescent="0.25"/>
    <row r="443" s="8" customFormat="1" x14ac:dyDescent="0.25"/>
    <row r="444" s="8" customFormat="1" x14ac:dyDescent="0.25"/>
    <row r="445" s="8" customFormat="1" x14ac:dyDescent="0.25"/>
    <row r="446" s="8" customFormat="1" x14ac:dyDescent="0.25"/>
    <row r="447" s="8" customFormat="1" x14ac:dyDescent="0.25"/>
    <row r="448" s="8" customFormat="1" x14ac:dyDescent="0.25"/>
    <row r="449" s="8" customFormat="1" x14ac:dyDescent="0.25"/>
    <row r="450" s="8" customFormat="1" x14ac:dyDescent="0.25"/>
    <row r="451" s="8" customFormat="1" x14ac:dyDescent="0.25"/>
    <row r="452" s="8" customFormat="1" x14ac:dyDescent="0.25"/>
    <row r="453" s="8" customFormat="1" x14ac:dyDescent="0.25"/>
    <row r="454" s="8" customFormat="1" x14ac:dyDescent="0.25"/>
    <row r="455" s="8" customFormat="1" x14ac:dyDescent="0.25"/>
    <row r="456" s="8" customFormat="1" x14ac:dyDescent="0.25"/>
    <row r="457" s="8" customFormat="1" x14ac:dyDescent="0.25"/>
    <row r="458" s="8" customFormat="1" x14ac:dyDescent="0.25"/>
    <row r="459" s="8" customFormat="1" x14ac:dyDescent="0.25"/>
    <row r="460" s="8" customFormat="1" x14ac:dyDescent="0.25"/>
    <row r="461" s="8" customFormat="1" x14ac:dyDescent="0.25"/>
    <row r="462" s="8" customFormat="1" x14ac:dyDescent="0.25"/>
    <row r="463" s="8" customFormat="1" x14ac:dyDescent="0.25"/>
    <row r="464" s="8" customFormat="1" x14ac:dyDescent="0.25"/>
    <row r="465" s="8" customFormat="1" x14ac:dyDescent="0.25"/>
    <row r="466" s="8" customFormat="1" x14ac:dyDescent="0.25"/>
    <row r="467" s="8" customFormat="1" x14ac:dyDescent="0.25"/>
    <row r="468" s="8" customFormat="1" x14ac:dyDescent="0.25"/>
    <row r="469" s="8" customFormat="1" x14ac:dyDescent="0.25"/>
    <row r="470" s="8" customFormat="1" x14ac:dyDescent="0.25"/>
    <row r="471" s="8" customFormat="1" x14ac:dyDescent="0.25"/>
    <row r="472" s="8" customFormat="1" x14ac:dyDescent="0.25"/>
    <row r="473" s="8" customFormat="1" x14ac:dyDescent="0.25"/>
    <row r="474" s="8" customFormat="1" x14ac:dyDescent="0.25"/>
    <row r="475" s="8" customFormat="1" x14ac:dyDescent="0.25"/>
    <row r="476" s="8" customFormat="1" x14ac:dyDescent="0.25"/>
    <row r="477" s="8" customFormat="1" x14ac:dyDescent="0.25"/>
    <row r="478" s="8" customFormat="1" x14ac:dyDescent="0.25"/>
    <row r="479" s="8" customFormat="1" x14ac:dyDescent="0.25"/>
    <row r="480" s="8" customFormat="1" x14ac:dyDescent="0.25"/>
    <row r="481" s="8" customFormat="1" x14ac:dyDescent="0.25"/>
    <row r="482" s="8" customFormat="1" x14ac:dyDescent="0.25"/>
    <row r="483" s="8" customFormat="1" x14ac:dyDescent="0.25"/>
    <row r="484" s="8" customFormat="1" x14ac:dyDescent="0.25"/>
    <row r="485" s="8" customFormat="1" x14ac:dyDescent="0.25"/>
    <row r="486" s="8" customFormat="1" x14ac:dyDescent="0.25"/>
    <row r="487" s="8" customFormat="1" x14ac:dyDescent="0.25"/>
    <row r="488" s="8" customFormat="1" x14ac:dyDescent="0.25"/>
    <row r="489" s="8" customFormat="1" x14ac:dyDescent="0.25"/>
    <row r="490" s="8" customFormat="1" x14ac:dyDescent="0.25"/>
    <row r="491" s="8" customFormat="1" x14ac:dyDescent="0.25"/>
    <row r="492" s="8" customFormat="1" x14ac:dyDescent="0.25"/>
    <row r="493" s="8" customFormat="1" x14ac:dyDescent="0.25"/>
    <row r="494" s="8" customFormat="1" x14ac:dyDescent="0.25"/>
    <row r="495" s="8" customFormat="1" x14ac:dyDescent="0.25"/>
    <row r="496" s="8" customFormat="1" x14ac:dyDescent="0.25"/>
    <row r="497" s="8" customFormat="1" x14ac:dyDescent="0.25"/>
    <row r="498" s="8" customFormat="1" x14ac:dyDescent="0.25"/>
    <row r="499" s="8" customFormat="1" x14ac:dyDescent="0.25"/>
    <row r="500" s="8" customFormat="1" x14ac:dyDescent="0.25"/>
    <row r="501" s="8" customFormat="1" x14ac:dyDescent="0.25"/>
    <row r="502" s="8" customFormat="1" x14ac:dyDescent="0.25"/>
    <row r="503" s="8" customFormat="1" x14ac:dyDescent="0.25"/>
    <row r="504" s="8" customFormat="1" x14ac:dyDescent="0.25"/>
    <row r="505" s="8" customFormat="1" x14ac:dyDescent="0.25"/>
    <row r="506" s="8" customFormat="1" x14ac:dyDescent="0.25"/>
    <row r="507" s="8" customFormat="1" x14ac:dyDescent="0.25"/>
    <row r="508" s="8" customFormat="1" x14ac:dyDescent="0.25"/>
    <row r="509" s="8" customFormat="1" x14ac:dyDescent="0.25"/>
    <row r="510" s="8" customFormat="1" x14ac:dyDescent="0.25"/>
    <row r="511" s="8" customFormat="1" x14ac:dyDescent="0.25"/>
    <row r="512" s="8" customFormat="1" x14ac:dyDescent="0.25"/>
    <row r="513" s="8" customFormat="1" x14ac:dyDescent="0.25"/>
    <row r="514" s="8" customFormat="1" x14ac:dyDescent="0.25"/>
    <row r="515" s="8" customFormat="1" x14ac:dyDescent="0.25"/>
    <row r="516" s="8" customFormat="1" x14ac:dyDescent="0.25"/>
    <row r="517" s="8" customFormat="1" x14ac:dyDescent="0.25"/>
    <row r="518" s="8" customFormat="1" x14ac:dyDescent="0.25"/>
    <row r="519" s="8" customFormat="1" x14ac:dyDescent="0.25"/>
    <row r="520" s="8" customFormat="1" x14ac:dyDescent="0.25"/>
    <row r="521" s="8" customFormat="1" x14ac:dyDescent="0.25"/>
    <row r="522" s="8" customFormat="1" x14ac:dyDescent="0.25"/>
    <row r="523" s="8" customFormat="1" x14ac:dyDescent="0.25"/>
    <row r="524" s="8" customFormat="1" x14ac:dyDescent="0.25"/>
    <row r="525" s="8" customFormat="1" x14ac:dyDescent="0.25"/>
    <row r="526" s="8" customFormat="1" x14ac:dyDescent="0.25"/>
    <row r="527" s="8" customFormat="1" x14ac:dyDescent="0.25"/>
    <row r="528" s="8" customFormat="1" x14ac:dyDescent="0.25"/>
    <row r="529" s="8" customFormat="1" x14ac:dyDescent="0.25"/>
    <row r="530" s="8" customFormat="1" x14ac:dyDescent="0.25"/>
    <row r="531" s="8" customFormat="1" x14ac:dyDescent="0.25"/>
    <row r="532" s="8" customFormat="1" x14ac:dyDescent="0.25"/>
    <row r="533" s="8" customFormat="1" x14ac:dyDescent="0.25"/>
    <row r="534" s="8" customFormat="1" x14ac:dyDescent="0.25"/>
    <row r="535" s="8" customFormat="1" x14ac:dyDescent="0.25"/>
    <row r="536" s="8" customFormat="1" x14ac:dyDescent="0.25"/>
    <row r="537" s="8" customFormat="1" x14ac:dyDescent="0.25"/>
    <row r="538" s="8" customFormat="1" x14ac:dyDescent="0.25"/>
    <row r="539" s="8" customFormat="1" x14ac:dyDescent="0.25"/>
    <row r="540" s="8" customFormat="1" x14ac:dyDescent="0.25"/>
    <row r="541" s="8" customFormat="1" x14ac:dyDescent="0.25"/>
    <row r="542" s="8" customFormat="1" x14ac:dyDescent="0.25"/>
    <row r="543" s="8" customFormat="1" x14ac:dyDescent="0.25"/>
    <row r="544" s="8" customFormat="1" x14ac:dyDescent="0.25"/>
    <row r="545" s="8" customFormat="1" x14ac:dyDescent="0.25"/>
    <row r="546" s="8" customFormat="1" x14ac:dyDescent="0.25"/>
    <row r="547" s="8" customFormat="1" x14ac:dyDescent="0.25"/>
    <row r="548" s="8" customFormat="1" x14ac:dyDescent="0.25"/>
    <row r="549" s="8" customFormat="1" x14ac:dyDescent="0.25"/>
    <row r="550" s="8" customFormat="1" x14ac:dyDescent="0.25"/>
    <row r="551" s="8" customFormat="1" x14ac:dyDescent="0.25"/>
    <row r="552" s="8" customFormat="1" x14ac:dyDescent="0.25"/>
    <row r="553" s="8" customFormat="1" x14ac:dyDescent="0.25"/>
    <row r="554" s="8" customFormat="1" x14ac:dyDescent="0.25"/>
    <row r="555" s="8" customFormat="1" x14ac:dyDescent="0.25"/>
    <row r="556" s="8" customFormat="1" x14ac:dyDescent="0.25"/>
    <row r="557" s="8" customFormat="1" x14ac:dyDescent="0.25"/>
    <row r="558" s="8" customFormat="1" x14ac:dyDescent="0.25"/>
    <row r="559" s="8" customFormat="1" x14ac:dyDescent="0.25"/>
    <row r="560" s="8" customFormat="1" x14ac:dyDescent="0.25"/>
    <row r="561" s="8" customFormat="1" x14ac:dyDescent="0.25"/>
    <row r="562" s="8" customFormat="1" x14ac:dyDescent="0.25"/>
    <row r="563" s="8" customFormat="1" x14ac:dyDescent="0.25"/>
    <row r="564" s="8" customFormat="1" x14ac:dyDescent="0.25"/>
    <row r="565" s="8" customFormat="1" x14ac:dyDescent="0.25"/>
    <row r="566" s="8" customFormat="1" x14ac:dyDescent="0.25"/>
    <row r="567" s="8" customFormat="1" x14ac:dyDescent="0.25"/>
    <row r="568" s="8" customFormat="1" x14ac:dyDescent="0.25"/>
    <row r="569" s="8" customFormat="1" x14ac:dyDescent="0.25"/>
    <row r="570" s="8" customFormat="1" x14ac:dyDescent="0.25"/>
    <row r="571" s="8" customFormat="1" x14ac:dyDescent="0.25"/>
    <row r="572" s="8" customFormat="1" x14ac:dyDescent="0.25"/>
    <row r="573" s="8" customFormat="1" x14ac:dyDescent="0.25"/>
    <row r="574" s="8" customFormat="1" x14ac:dyDescent="0.25"/>
    <row r="575" s="8" customFormat="1" x14ac:dyDescent="0.25"/>
    <row r="576" s="8" customFormat="1" x14ac:dyDescent="0.25"/>
    <row r="577" s="8" customFormat="1" x14ac:dyDescent="0.25"/>
    <row r="578" s="8" customFormat="1" x14ac:dyDescent="0.25"/>
    <row r="579" s="8" customFormat="1" x14ac:dyDescent="0.25"/>
    <row r="580" s="8" customFormat="1" x14ac:dyDescent="0.25"/>
    <row r="581" s="8" customFormat="1" x14ac:dyDescent="0.25"/>
    <row r="582" s="8" customFormat="1" x14ac:dyDescent="0.25"/>
    <row r="583" s="8" customFormat="1" x14ac:dyDescent="0.25"/>
    <row r="584" s="8" customFormat="1" x14ac:dyDescent="0.25"/>
    <row r="585" s="8" customFormat="1" x14ac:dyDescent="0.25"/>
    <row r="586" s="8" customFormat="1" x14ac:dyDescent="0.25"/>
    <row r="587" s="8" customFormat="1" x14ac:dyDescent="0.25"/>
    <row r="588" s="8" customFormat="1" x14ac:dyDescent="0.25"/>
    <row r="589" s="8" customFormat="1" x14ac:dyDescent="0.25"/>
    <row r="590" s="8" customFormat="1" x14ac:dyDescent="0.25"/>
    <row r="591" s="8" customFormat="1" x14ac:dyDescent="0.25"/>
    <row r="592" s="8" customFormat="1" x14ac:dyDescent="0.25"/>
    <row r="593" s="8" customFormat="1" x14ac:dyDescent="0.25"/>
    <row r="594" s="8" customFormat="1" x14ac:dyDescent="0.25"/>
    <row r="595" s="8" customFormat="1" x14ac:dyDescent="0.25"/>
    <row r="596" s="8" customFormat="1" x14ac:dyDescent="0.25"/>
    <row r="597" s="8" customFormat="1" x14ac:dyDescent="0.25"/>
    <row r="598" s="8" customFormat="1" x14ac:dyDescent="0.25"/>
    <row r="599" s="8" customFormat="1" x14ac:dyDescent="0.25"/>
    <row r="600" s="8" customFormat="1" x14ac:dyDescent="0.25"/>
    <row r="601" s="8" customFormat="1" x14ac:dyDescent="0.25"/>
    <row r="602" s="8" customFormat="1" x14ac:dyDescent="0.25"/>
    <row r="603" s="8" customFormat="1" x14ac:dyDescent="0.25"/>
    <row r="604" s="8" customFormat="1" x14ac:dyDescent="0.25"/>
    <row r="605" s="8" customFormat="1" x14ac:dyDescent="0.25"/>
    <row r="606" s="8" customFormat="1" x14ac:dyDescent="0.25"/>
    <row r="607" s="8" customFormat="1" x14ac:dyDescent="0.25"/>
    <row r="608" s="8" customFormat="1" x14ac:dyDescent="0.25"/>
    <row r="609" s="8" customFormat="1" x14ac:dyDescent="0.25"/>
    <row r="610" s="8" customFormat="1" x14ac:dyDescent="0.25"/>
    <row r="611" s="8" customFormat="1" x14ac:dyDescent="0.25"/>
    <row r="612" s="8" customFormat="1" x14ac:dyDescent="0.25"/>
    <row r="613" s="8" customFormat="1" x14ac:dyDescent="0.25"/>
    <row r="614" s="8" customFormat="1" x14ac:dyDescent="0.25"/>
    <row r="615" s="8" customFormat="1" x14ac:dyDescent="0.25"/>
    <row r="616" s="8" customFormat="1" x14ac:dyDescent="0.25"/>
    <row r="617" s="8" customFormat="1" x14ac:dyDescent="0.25"/>
    <row r="618" s="8" customFormat="1" x14ac:dyDescent="0.25"/>
    <row r="619" s="8" customFormat="1" x14ac:dyDescent="0.25"/>
    <row r="620" s="8" customFormat="1" x14ac:dyDescent="0.25"/>
    <row r="621" s="8" customFormat="1" x14ac:dyDescent="0.25"/>
    <row r="622" s="8" customFormat="1" x14ac:dyDescent="0.25"/>
    <row r="623" s="8" customFormat="1" x14ac:dyDescent="0.25"/>
    <row r="624" s="8" customFormat="1" x14ac:dyDescent="0.25"/>
    <row r="625" s="8" customFormat="1" x14ac:dyDescent="0.25"/>
    <row r="626" s="8" customFormat="1" x14ac:dyDescent="0.25"/>
    <row r="627" s="8" customFormat="1" x14ac:dyDescent="0.25"/>
    <row r="628" s="8" customFormat="1" x14ac:dyDescent="0.25"/>
    <row r="629" s="8" customFormat="1" x14ac:dyDescent="0.25"/>
    <row r="630" s="8" customFormat="1" x14ac:dyDescent="0.25"/>
    <row r="631" s="8" customFormat="1" x14ac:dyDescent="0.25"/>
    <row r="632" s="8" customFormat="1" x14ac:dyDescent="0.25"/>
    <row r="633" s="8" customFormat="1" x14ac:dyDescent="0.25"/>
    <row r="634" s="8" customFormat="1" x14ac:dyDescent="0.25"/>
    <row r="635" s="8" customFormat="1" x14ac:dyDescent="0.25"/>
    <row r="636" s="8" customFormat="1" x14ac:dyDescent="0.25"/>
    <row r="637" s="8" customFormat="1" x14ac:dyDescent="0.25"/>
    <row r="638" s="8" customFormat="1" x14ac:dyDescent="0.25"/>
    <row r="639" s="8" customFormat="1" x14ac:dyDescent="0.25"/>
    <row r="640" s="8" customFormat="1" x14ac:dyDescent="0.25"/>
    <row r="641" s="8" customFormat="1" x14ac:dyDescent="0.25"/>
    <row r="642" s="8" customFormat="1" x14ac:dyDescent="0.25"/>
    <row r="643" s="8" customFormat="1" x14ac:dyDescent="0.25"/>
    <row r="644" s="8" customFormat="1" x14ac:dyDescent="0.25"/>
    <row r="645" s="8" customFormat="1" x14ac:dyDescent="0.25"/>
    <row r="646" s="8" customFormat="1" x14ac:dyDescent="0.25"/>
    <row r="647" s="8" customFormat="1" x14ac:dyDescent="0.25"/>
    <row r="648" s="8" customFormat="1" x14ac:dyDescent="0.25"/>
    <row r="649" s="8" customFormat="1" x14ac:dyDescent="0.25"/>
    <row r="650" s="8" customFormat="1" x14ac:dyDescent="0.25"/>
    <row r="651" s="8" customFormat="1" x14ac:dyDescent="0.25"/>
    <row r="652" s="8" customFormat="1" x14ac:dyDescent="0.25"/>
    <row r="653" s="8" customFormat="1" x14ac:dyDescent="0.25"/>
    <row r="654" s="8" customFormat="1" x14ac:dyDescent="0.25"/>
    <row r="655" s="8" customFormat="1" x14ac:dyDescent="0.25"/>
    <row r="656" s="8" customFormat="1" x14ac:dyDescent="0.25"/>
    <row r="657" s="8" customFormat="1" x14ac:dyDescent="0.25"/>
    <row r="658" s="8" customFormat="1" x14ac:dyDescent="0.25"/>
    <row r="659" s="8" customFormat="1" x14ac:dyDescent="0.25"/>
    <row r="660" s="8" customFormat="1" x14ac:dyDescent="0.25"/>
    <row r="661" s="8" customFormat="1" x14ac:dyDescent="0.25"/>
    <row r="662" s="8" customFormat="1" x14ac:dyDescent="0.25"/>
    <row r="663" s="8" customFormat="1" x14ac:dyDescent="0.25"/>
    <row r="664" s="8" customFormat="1" x14ac:dyDescent="0.25"/>
    <row r="665" s="8" customFormat="1" x14ac:dyDescent="0.25"/>
    <row r="666" s="8" customFormat="1" x14ac:dyDescent="0.25"/>
    <row r="667" s="8" customFormat="1" x14ac:dyDescent="0.25"/>
    <row r="668" s="8" customFormat="1" x14ac:dyDescent="0.25"/>
    <row r="669" s="8" customFormat="1" x14ac:dyDescent="0.25"/>
    <row r="670" s="8" customFormat="1" x14ac:dyDescent="0.25"/>
    <row r="671" s="8" customFormat="1" x14ac:dyDescent="0.25"/>
    <row r="672" s="8" customFormat="1" x14ac:dyDescent="0.25"/>
    <row r="673" s="8" customFormat="1" x14ac:dyDescent="0.25"/>
    <row r="674" s="8" customFormat="1" x14ac:dyDescent="0.25"/>
    <row r="675" s="8" customFormat="1" x14ac:dyDescent="0.25"/>
    <row r="676" s="8" customFormat="1" x14ac:dyDescent="0.25"/>
    <row r="677" s="8" customFormat="1" x14ac:dyDescent="0.25"/>
    <row r="678" s="8" customFormat="1" x14ac:dyDescent="0.25"/>
    <row r="679" s="8" customFormat="1" x14ac:dyDescent="0.25"/>
    <row r="680" s="8" customFormat="1" x14ac:dyDescent="0.25"/>
    <row r="681" s="8" customFormat="1" x14ac:dyDescent="0.25"/>
    <row r="682" s="8" customFormat="1" x14ac:dyDescent="0.25"/>
    <row r="683" s="8" customFormat="1" x14ac:dyDescent="0.25"/>
    <row r="684" s="8" customFormat="1" x14ac:dyDescent="0.25"/>
    <row r="685" s="8" customFormat="1" x14ac:dyDescent="0.25"/>
    <row r="686" s="8" customFormat="1" x14ac:dyDescent="0.25"/>
    <row r="687" s="8" customFormat="1" x14ac:dyDescent="0.25"/>
    <row r="688" s="8" customFormat="1" x14ac:dyDescent="0.25"/>
    <row r="689" s="8" customFormat="1" x14ac:dyDescent="0.25"/>
    <row r="690" s="8" customFormat="1" x14ac:dyDescent="0.25"/>
    <row r="691" s="8" customFormat="1" x14ac:dyDescent="0.25"/>
    <row r="692" s="8" customFormat="1" x14ac:dyDescent="0.25"/>
    <row r="693" s="8" customFormat="1" x14ac:dyDescent="0.25"/>
    <row r="694" s="8" customFormat="1" x14ac:dyDescent="0.25"/>
    <row r="695" s="8" customFormat="1" x14ac:dyDescent="0.25"/>
    <row r="696" s="8" customFormat="1" x14ac:dyDescent="0.25"/>
    <row r="697" s="8" customFormat="1" x14ac:dyDescent="0.25"/>
    <row r="698" s="8" customFormat="1" x14ac:dyDescent="0.25"/>
    <row r="699" s="8" customFormat="1" x14ac:dyDescent="0.25"/>
    <row r="700" s="8" customFormat="1" x14ac:dyDescent="0.25"/>
    <row r="701" s="8" customFormat="1" x14ac:dyDescent="0.25"/>
    <row r="702" s="8" customFormat="1" x14ac:dyDescent="0.25"/>
    <row r="703" s="8" customFormat="1" x14ac:dyDescent="0.25"/>
    <row r="704" s="8" customFormat="1" x14ac:dyDescent="0.25"/>
    <row r="705" s="8" customFormat="1" x14ac:dyDescent="0.25"/>
    <row r="706" s="8" customFormat="1" x14ac:dyDescent="0.25"/>
    <row r="707" s="8" customFormat="1" x14ac:dyDescent="0.25"/>
    <row r="708" s="8" customFormat="1" x14ac:dyDescent="0.25"/>
    <row r="709" s="8" customFormat="1" x14ac:dyDescent="0.25"/>
    <row r="710" s="8" customFormat="1" x14ac:dyDescent="0.25"/>
    <row r="711" s="8" customFormat="1" x14ac:dyDescent="0.25"/>
    <row r="712" s="8" customFormat="1" x14ac:dyDescent="0.25"/>
    <row r="713" s="8" customFormat="1" x14ac:dyDescent="0.25"/>
    <row r="714" s="8" customFormat="1" x14ac:dyDescent="0.25"/>
    <row r="715" s="8" customFormat="1" x14ac:dyDescent="0.25"/>
    <row r="716" s="8" customFormat="1" x14ac:dyDescent="0.25"/>
    <row r="717" s="8" customFormat="1" x14ac:dyDescent="0.25"/>
    <row r="718" s="8" customFormat="1" x14ac:dyDescent="0.25"/>
    <row r="719" s="8" customFormat="1" x14ac:dyDescent="0.25"/>
    <row r="720" s="8" customFormat="1" x14ac:dyDescent="0.25"/>
    <row r="721" s="8" customFormat="1" x14ac:dyDescent="0.25"/>
    <row r="722" s="8" customFormat="1" x14ac:dyDescent="0.25"/>
    <row r="723" s="8" customFormat="1" x14ac:dyDescent="0.25"/>
    <row r="724" s="8" customFormat="1" x14ac:dyDescent="0.25"/>
    <row r="725" s="8" customFormat="1" x14ac:dyDescent="0.25"/>
    <row r="726" s="8" customFormat="1" x14ac:dyDescent="0.25"/>
    <row r="727" s="8" customFormat="1" x14ac:dyDescent="0.25"/>
    <row r="728" s="8" customFormat="1" x14ac:dyDescent="0.25"/>
    <row r="729" s="8" customFormat="1" x14ac:dyDescent="0.25"/>
    <row r="730" s="8" customFormat="1" x14ac:dyDescent="0.25"/>
    <row r="731" s="8" customFormat="1" x14ac:dyDescent="0.25"/>
    <row r="732" s="8" customFormat="1" x14ac:dyDescent="0.25"/>
    <row r="733" s="8" customFormat="1" x14ac:dyDescent="0.25"/>
    <row r="734" s="8" customFormat="1" x14ac:dyDescent="0.25"/>
    <row r="735" s="8" customFormat="1" x14ac:dyDescent="0.25"/>
    <row r="736" s="8" customFormat="1" x14ac:dyDescent="0.25"/>
    <row r="737" s="8" customFormat="1" x14ac:dyDescent="0.25"/>
    <row r="738" s="8" customFormat="1" x14ac:dyDescent="0.25"/>
    <row r="739" s="8" customFormat="1" x14ac:dyDescent="0.25"/>
    <row r="740" s="8" customFormat="1" x14ac:dyDescent="0.25"/>
    <row r="741" s="8" customFormat="1" x14ac:dyDescent="0.25"/>
    <row r="742" s="8" customFormat="1" x14ac:dyDescent="0.25"/>
    <row r="743" s="8" customFormat="1" x14ac:dyDescent="0.25"/>
    <row r="744" s="8" customFormat="1" x14ac:dyDescent="0.25"/>
    <row r="745" s="8" customFormat="1" x14ac:dyDescent="0.25"/>
    <row r="746" s="8" customFormat="1" x14ac:dyDescent="0.25"/>
    <row r="747" s="8" customFormat="1" x14ac:dyDescent="0.25"/>
    <row r="748" s="8" customFormat="1" x14ac:dyDescent="0.25"/>
    <row r="749" s="8" customFormat="1" x14ac:dyDescent="0.25"/>
    <row r="750" s="8" customFormat="1" x14ac:dyDescent="0.25"/>
    <row r="751" s="8" customFormat="1" x14ac:dyDescent="0.25"/>
    <row r="752" s="8" customFormat="1" x14ac:dyDescent="0.25"/>
    <row r="753" s="8" customFormat="1" x14ac:dyDescent="0.25"/>
    <row r="754" s="8" customFormat="1" x14ac:dyDescent="0.25"/>
    <row r="755" s="8" customFormat="1" x14ac:dyDescent="0.25"/>
    <row r="756" s="8" customFormat="1" x14ac:dyDescent="0.25"/>
    <row r="757" s="8" customFormat="1" x14ac:dyDescent="0.25"/>
    <row r="758" s="8" customFormat="1" x14ac:dyDescent="0.25"/>
    <row r="759" s="8" customFormat="1" x14ac:dyDescent="0.25"/>
    <row r="760" s="8" customFormat="1" x14ac:dyDescent="0.25"/>
    <row r="761" s="8" customFormat="1" x14ac:dyDescent="0.25"/>
    <row r="762" s="8" customFormat="1" x14ac:dyDescent="0.25"/>
    <row r="763" s="8" customFormat="1" x14ac:dyDescent="0.25"/>
    <row r="764" s="8" customFormat="1" x14ac:dyDescent="0.25"/>
    <row r="765" s="8" customFormat="1" x14ac:dyDescent="0.25"/>
    <row r="766" s="8" customFormat="1" x14ac:dyDescent="0.25"/>
    <row r="767" s="8" customFormat="1" x14ac:dyDescent="0.25"/>
    <row r="768" s="8" customFormat="1" x14ac:dyDescent="0.25"/>
    <row r="769" s="8" customFormat="1" x14ac:dyDescent="0.25"/>
    <row r="770" s="8" customFormat="1" x14ac:dyDescent="0.25"/>
    <row r="771" s="8" customFormat="1" x14ac:dyDescent="0.25"/>
    <row r="772" s="8" customFormat="1" x14ac:dyDescent="0.25"/>
    <row r="773" s="8" customFormat="1" x14ac:dyDescent="0.25"/>
    <row r="774" s="8" customFormat="1" x14ac:dyDescent="0.25"/>
    <row r="775" s="8" customFormat="1" x14ac:dyDescent="0.25"/>
    <row r="776" s="8" customFormat="1" x14ac:dyDescent="0.25"/>
    <row r="777" s="8" customFormat="1" x14ac:dyDescent="0.25"/>
    <row r="778" s="8" customFormat="1" x14ac:dyDescent="0.25"/>
    <row r="779" s="8" customFormat="1" x14ac:dyDescent="0.25"/>
    <row r="780" s="8" customFormat="1" x14ac:dyDescent="0.25"/>
    <row r="781" s="8" customFormat="1" x14ac:dyDescent="0.25"/>
    <row r="782" s="8" customFormat="1" x14ac:dyDescent="0.25"/>
    <row r="783" s="8" customFormat="1" x14ac:dyDescent="0.25"/>
    <row r="784" s="8" customFormat="1" x14ac:dyDescent="0.25"/>
    <row r="785" s="8" customFormat="1" x14ac:dyDescent="0.25"/>
    <row r="786" s="8" customFormat="1" x14ac:dyDescent="0.25"/>
    <row r="787" s="8" customFormat="1" x14ac:dyDescent="0.25"/>
    <row r="788" s="8" customFormat="1" x14ac:dyDescent="0.25"/>
    <row r="789" s="8" customFormat="1" x14ac:dyDescent="0.25"/>
    <row r="790" s="8" customFormat="1" x14ac:dyDescent="0.25"/>
    <row r="791" s="8" customFormat="1" x14ac:dyDescent="0.25"/>
    <row r="792" s="8" customFormat="1" x14ac:dyDescent="0.25"/>
    <row r="793" s="8" customFormat="1" x14ac:dyDescent="0.25"/>
    <row r="794" s="8" customFormat="1" x14ac:dyDescent="0.25"/>
    <row r="795" s="8" customFormat="1" x14ac:dyDescent="0.25"/>
    <row r="796" s="8" customFormat="1" x14ac:dyDescent="0.25"/>
    <row r="797" s="8" customFormat="1" x14ac:dyDescent="0.25"/>
    <row r="798" s="8" customFormat="1" x14ac:dyDescent="0.25"/>
    <row r="799" s="8" customFormat="1" x14ac:dyDescent="0.25"/>
    <row r="800" s="8" customFormat="1" x14ac:dyDescent="0.25"/>
    <row r="801" s="8" customFormat="1" x14ac:dyDescent="0.25"/>
    <row r="802" s="8" customFormat="1" x14ac:dyDescent="0.25"/>
    <row r="803" s="8" customFormat="1" x14ac:dyDescent="0.25"/>
    <row r="804" s="8" customFormat="1" x14ac:dyDescent="0.25"/>
    <row r="805" s="8" customFormat="1" x14ac:dyDescent="0.25"/>
    <row r="806" s="8" customFormat="1" x14ac:dyDescent="0.25"/>
    <row r="807" s="8" customFormat="1" x14ac:dyDescent="0.25"/>
    <row r="808" s="8" customFormat="1" x14ac:dyDescent="0.25"/>
    <row r="809" s="8" customFormat="1" x14ac:dyDescent="0.25"/>
    <row r="810" s="8" customFormat="1" x14ac:dyDescent="0.25"/>
    <row r="811" s="8" customFormat="1" x14ac:dyDescent="0.25"/>
    <row r="812" s="8" customFormat="1" x14ac:dyDescent="0.25"/>
    <row r="813" s="8" customFormat="1" x14ac:dyDescent="0.25"/>
    <row r="814" s="8" customFormat="1" x14ac:dyDescent="0.25"/>
    <row r="815" s="8" customFormat="1" x14ac:dyDescent="0.25"/>
    <row r="816" s="8" customFormat="1" x14ac:dyDescent="0.25"/>
    <row r="817" s="8" customFormat="1" x14ac:dyDescent="0.25"/>
    <row r="818" s="8" customFormat="1" x14ac:dyDescent="0.25"/>
    <row r="819" s="8" customFormat="1" x14ac:dyDescent="0.25"/>
    <row r="820" s="8" customFormat="1" x14ac:dyDescent="0.25"/>
    <row r="821" s="8" customFormat="1" x14ac:dyDescent="0.25"/>
    <row r="822" s="8" customFormat="1" x14ac:dyDescent="0.25"/>
    <row r="823" s="8" customFormat="1" x14ac:dyDescent="0.25"/>
    <row r="824" s="8" customFormat="1" x14ac:dyDescent="0.25"/>
    <row r="825" s="8" customFormat="1" x14ac:dyDescent="0.25"/>
    <row r="826" s="8" customFormat="1" x14ac:dyDescent="0.25"/>
    <row r="827" s="8" customFormat="1" x14ac:dyDescent="0.25"/>
    <row r="828" s="8" customFormat="1" x14ac:dyDescent="0.25"/>
    <row r="829" s="8" customFormat="1" x14ac:dyDescent="0.25"/>
    <row r="830" s="8" customFormat="1" x14ac:dyDescent="0.25"/>
    <row r="831" s="8" customFormat="1" x14ac:dyDescent="0.25"/>
    <row r="832" s="8" customFormat="1" x14ac:dyDescent="0.25"/>
    <row r="833" s="8" customFormat="1" x14ac:dyDescent="0.25"/>
    <row r="834" s="8" customFormat="1" x14ac:dyDescent="0.25"/>
    <row r="835" s="8" customFormat="1" x14ac:dyDescent="0.25"/>
    <row r="836" s="8" customFormat="1" x14ac:dyDescent="0.25"/>
    <row r="837" s="8" customFormat="1" x14ac:dyDescent="0.25"/>
    <row r="838" s="8" customFormat="1" x14ac:dyDescent="0.25"/>
    <row r="839" s="8" customFormat="1" x14ac:dyDescent="0.25"/>
    <row r="840" s="8" customFormat="1" x14ac:dyDescent="0.25"/>
    <row r="841" s="8" customFormat="1" x14ac:dyDescent="0.25"/>
    <row r="842" s="8" customFormat="1" x14ac:dyDescent="0.25"/>
    <row r="843" s="8" customFormat="1" x14ac:dyDescent="0.25"/>
    <row r="844" s="8" customFormat="1" x14ac:dyDescent="0.25"/>
    <row r="845" s="8" customFormat="1" x14ac:dyDescent="0.25"/>
    <row r="846" s="8" customFormat="1" x14ac:dyDescent="0.25"/>
    <row r="847" s="8" customFormat="1" x14ac:dyDescent="0.25"/>
    <row r="848" s="8" customFormat="1" x14ac:dyDescent="0.25"/>
    <row r="849" s="8" customFormat="1" x14ac:dyDescent="0.25"/>
    <row r="850" s="8" customFormat="1" x14ac:dyDescent="0.25"/>
    <row r="851" s="8" customFormat="1" x14ac:dyDescent="0.25"/>
    <row r="852" s="8" customFormat="1" x14ac:dyDescent="0.25"/>
    <row r="853" s="8" customFormat="1" x14ac:dyDescent="0.25"/>
    <row r="854" s="8" customFormat="1" x14ac:dyDescent="0.25"/>
    <row r="855" s="8" customFormat="1" x14ac:dyDescent="0.25"/>
    <row r="856" s="8" customFormat="1" x14ac:dyDescent="0.25"/>
    <row r="857" s="8" customFormat="1" x14ac:dyDescent="0.25"/>
    <row r="858" s="8" customFormat="1" x14ac:dyDescent="0.25"/>
    <row r="859" s="8" customFormat="1" x14ac:dyDescent="0.25"/>
    <row r="860" s="8" customFormat="1" x14ac:dyDescent="0.25"/>
    <row r="861" s="8" customFormat="1" x14ac:dyDescent="0.25"/>
    <row r="862" s="8" customFormat="1" x14ac:dyDescent="0.25"/>
    <row r="863" s="8" customFormat="1" x14ac:dyDescent="0.25"/>
    <row r="864" s="8" customFormat="1" x14ac:dyDescent="0.25"/>
    <row r="865" s="8" customFormat="1" x14ac:dyDescent="0.25"/>
    <row r="866" s="8" customFormat="1" x14ac:dyDescent="0.25"/>
    <row r="867" s="8" customFormat="1" x14ac:dyDescent="0.25"/>
    <row r="868" s="8" customFormat="1" x14ac:dyDescent="0.25"/>
    <row r="869" s="8" customFormat="1" x14ac:dyDescent="0.25"/>
    <row r="870" s="8" customFormat="1" x14ac:dyDescent="0.25"/>
    <row r="871" s="8" customFormat="1" x14ac:dyDescent="0.25"/>
    <row r="872" s="8" customFormat="1" x14ac:dyDescent="0.25"/>
    <row r="873" s="8" customFormat="1" x14ac:dyDescent="0.25"/>
    <row r="874" s="8" customFormat="1" x14ac:dyDescent="0.25"/>
    <row r="875" s="8" customFormat="1" x14ac:dyDescent="0.25"/>
    <row r="876" s="8" customFormat="1" x14ac:dyDescent="0.25"/>
    <row r="877" s="8" customFormat="1" x14ac:dyDescent="0.25"/>
    <row r="878" s="8" customFormat="1" x14ac:dyDescent="0.25"/>
    <row r="879" s="8" customFormat="1" x14ac:dyDescent="0.25"/>
    <row r="880" s="8" customFormat="1" x14ac:dyDescent="0.25"/>
    <row r="881" s="8" customFormat="1" x14ac:dyDescent="0.25"/>
    <row r="882" s="8" customFormat="1" x14ac:dyDescent="0.25"/>
    <row r="883" s="8" customFormat="1" x14ac:dyDescent="0.25"/>
    <row r="884" s="8" customFormat="1" x14ac:dyDescent="0.25"/>
    <row r="885" s="8" customFormat="1" x14ac:dyDescent="0.25"/>
    <row r="886" s="8" customFormat="1" x14ac:dyDescent="0.25"/>
    <row r="887" s="8" customFormat="1" x14ac:dyDescent="0.25"/>
    <row r="888" s="8" customFormat="1" x14ac:dyDescent="0.25"/>
    <row r="889" s="8" customFormat="1" x14ac:dyDescent="0.25"/>
    <row r="890" s="8" customFormat="1" x14ac:dyDescent="0.25"/>
    <row r="891" s="8" customFormat="1" x14ac:dyDescent="0.25"/>
    <row r="892" s="8" customFormat="1" x14ac:dyDescent="0.25"/>
    <row r="893" s="8" customFormat="1" x14ac:dyDescent="0.25"/>
    <row r="894" s="8" customFormat="1" x14ac:dyDescent="0.25"/>
    <row r="895" s="8" customFormat="1" x14ac:dyDescent="0.25"/>
    <row r="896" s="8" customFormat="1" x14ac:dyDescent="0.25"/>
    <row r="897" s="8" customFormat="1" x14ac:dyDescent="0.25"/>
    <row r="898" s="8" customFormat="1" x14ac:dyDescent="0.25"/>
    <row r="899" s="8" customFormat="1" x14ac:dyDescent="0.25"/>
    <row r="900" s="8" customFormat="1" x14ac:dyDescent="0.25"/>
    <row r="901" s="8" customFormat="1" x14ac:dyDescent="0.25"/>
    <row r="902" s="8" customFormat="1" x14ac:dyDescent="0.25"/>
    <row r="903" s="8" customFormat="1" x14ac:dyDescent="0.25"/>
    <row r="904" s="8" customFormat="1" x14ac:dyDescent="0.25"/>
    <row r="905" s="8" customFormat="1" x14ac:dyDescent="0.25"/>
    <row r="906" s="8" customFormat="1" x14ac:dyDescent="0.25"/>
    <row r="907" s="8" customFormat="1" x14ac:dyDescent="0.25"/>
    <row r="908" s="8" customFormat="1" x14ac:dyDescent="0.25"/>
    <row r="909" s="8" customFormat="1" x14ac:dyDescent="0.25"/>
    <row r="910" s="8" customFormat="1" x14ac:dyDescent="0.25"/>
    <row r="911" s="8" customFormat="1" x14ac:dyDescent="0.25"/>
    <row r="912" s="8" customFormat="1" x14ac:dyDescent="0.25"/>
    <row r="913" s="8" customFormat="1" x14ac:dyDescent="0.25"/>
    <row r="914" s="8" customFormat="1" x14ac:dyDescent="0.25"/>
    <row r="915" s="8" customFormat="1" x14ac:dyDescent="0.25"/>
    <row r="916" s="8" customFormat="1" x14ac:dyDescent="0.25"/>
    <row r="917" s="8" customFormat="1" x14ac:dyDescent="0.25"/>
    <row r="918" s="8" customFormat="1" x14ac:dyDescent="0.25"/>
    <row r="919" s="8" customFormat="1" x14ac:dyDescent="0.25"/>
    <row r="920" s="8" customFormat="1" x14ac:dyDescent="0.25"/>
    <row r="921" s="8" customFormat="1" x14ac:dyDescent="0.25"/>
    <row r="922" s="8" customFormat="1" x14ac:dyDescent="0.25"/>
    <row r="923" s="8" customFormat="1" x14ac:dyDescent="0.25"/>
    <row r="924" s="8" customFormat="1" x14ac:dyDescent="0.25"/>
    <row r="925" s="8" customFormat="1" x14ac:dyDescent="0.25"/>
    <row r="926" s="8" customFormat="1" x14ac:dyDescent="0.25"/>
    <row r="927" s="8" customFormat="1" x14ac:dyDescent="0.25"/>
    <row r="928" s="8" customFormat="1" x14ac:dyDescent="0.25"/>
    <row r="929" s="8" customFormat="1" x14ac:dyDescent="0.25"/>
    <row r="930" s="8" customFormat="1" x14ac:dyDescent="0.25"/>
    <row r="931" s="8" customFormat="1" x14ac:dyDescent="0.25"/>
    <row r="932" s="8" customFormat="1" x14ac:dyDescent="0.25"/>
    <row r="933" s="8" customFormat="1" x14ac:dyDescent="0.25"/>
    <row r="934" s="8" customFormat="1" x14ac:dyDescent="0.25"/>
    <row r="935" s="8" customFormat="1" x14ac:dyDescent="0.25"/>
    <row r="936" s="8" customFormat="1" x14ac:dyDescent="0.25"/>
    <row r="937" s="8" customFormat="1" x14ac:dyDescent="0.25"/>
    <row r="938" s="8" customFormat="1" x14ac:dyDescent="0.25"/>
    <row r="939" s="8" customFormat="1" x14ac:dyDescent="0.25"/>
    <row r="940" s="8" customFormat="1" x14ac:dyDescent="0.25"/>
    <row r="941" s="8" customFormat="1" x14ac:dyDescent="0.25"/>
    <row r="942" s="8" customFormat="1" x14ac:dyDescent="0.25"/>
    <row r="943" s="8" customFormat="1" x14ac:dyDescent="0.25"/>
    <row r="944" s="8" customFormat="1" x14ac:dyDescent="0.25"/>
    <row r="945" s="8" customFormat="1" x14ac:dyDescent="0.25"/>
    <row r="946" s="8" customFormat="1" x14ac:dyDescent="0.25"/>
    <row r="947" s="8" customFormat="1" x14ac:dyDescent="0.25"/>
    <row r="948" s="8" customFormat="1" x14ac:dyDescent="0.25"/>
    <row r="949" s="8" customFormat="1" x14ac:dyDescent="0.25"/>
    <row r="950" s="8" customFormat="1" x14ac:dyDescent="0.25"/>
    <row r="951" s="8" customFormat="1" x14ac:dyDescent="0.25"/>
    <row r="952" s="8" customFormat="1" x14ac:dyDescent="0.25"/>
    <row r="953" s="8" customFormat="1" x14ac:dyDescent="0.25"/>
    <row r="954" s="8" customFormat="1" x14ac:dyDescent="0.25"/>
    <row r="955" s="8" customFormat="1" x14ac:dyDescent="0.25"/>
    <row r="956" s="8" customFormat="1" x14ac:dyDescent="0.25"/>
    <row r="957" s="8" customFormat="1" x14ac:dyDescent="0.25"/>
    <row r="958" s="8" customFormat="1" x14ac:dyDescent="0.25"/>
    <row r="959" s="8" customFormat="1" x14ac:dyDescent="0.25"/>
    <row r="960" s="8" customFormat="1" x14ac:dyDescent="0.25"/>
    <row r="961" s="8" customFormat="1" x14ac:dyDescent="0.25"/>
    <row r="962" s="8" customFormat="1" x14ac:dyDescent="0.25"/>
    <row r="963" s="8" customFormat="1" x14ac:dyDescent="0.25"/>
    <row r="964" s="8" customFormat="1" x14ac:dyDescent="0.25"/>
    <row r="965" s="8" customFormat="1" x14ac:dyDescent="0.25"/>
    <row r="966" s="8" customFormat="1" x14ac:dyDescent="0.25"/>
    <row r="967" s="8" customFormat="1" x14ac:dyDescent="0.25"/>
    <row r="968" s="8" customFormat="1" x14ac:dyDescent="0.25"/>
    <row r="969" s="8" customFormat="1" x14ac:dyDescent="0.25"/>
    <row r="970" s="8" customFormat="1" x14ac:dyDescent="0.25"/>
    <row r="971" s="8" customFormat="1" x14ac:dyDescent="0.25"/>
    <row r="972" s="8" customFormat="1" x14ac:dyDescent="0.25"/>
    <row r="973" s="8" customFormat="1" x14ac:dyDescent="0.25"/>
    <row r="974" s="8" customFormat="1" x14ac:dyDescent="0.25"/>
    <row r="975" s="8" customFormat="1" x14ac:dyDescent="0.25"/>
    <row r="976" s="8" customFormat="1" x14ac:dyDescent="0.25"/>
    <row r="977" s="8" customFormat="1" x14ac:dyDescent="0.25"/>
    <row r="978" s="8" customFormat="1" x14ac:dyDescent="0.25"/>
    <row r="979" s="8" customFormat="1" x14ac:dyDescent="0.25"/>
    <row r="980" s="8" customFormat="1" x14ac:dyDescent="0.25"/>
    <row r="981" s="8" customFormat="1" x14ac:dyDescent="0.25"/>
    <row r="982" s="8" customFormat="1" x14ac:dyDescent="0.25"/>
    <row r="983" s="8" customFormat="1" x14ac:dyDescent="0.25"/>
    <row r="984" s="8" customFormat="1" x14ac:dyDescent="0.25"/>
    <row r="985" s="8" customFormat="1" x14ac:dyDescent="0.25"/>
    <row r="986" s="8" customFormat="1" x14ac:dyDescent="0.25"/>
    <row r="987" s="8" customFormat="1" x14ac:dyDescent="0.25"/>
    <row r="988" s="8" customFormat="1" x14ac:dyDescent="0.25"/>
    <row r="989" s="8" customFormat="1" x14ac:dyDescent="0.25"/>
    <row r="990" s="8" customFormat="1" x14ac:dyDescent="0.25"/>
    <row r="991" s="8" customFormat="1" x14ac:dyDescent="0.25"/>
    <row r="992" s="8" customFormat="1" x14ac:dyDescent="0.25"/>
    <row r="993" s="8" customFormat="1" x14ac:dyDescent="0.25"/>
    <row r="994" s="8" customFormat="1" x14ac:dyDescent="0.25"/>
    <row r="995" s="8" customFormat="1" x14ac:dyDescent="0.25"/>
    <row r="996" s="8" customFormat="1" x14ac:dyDescent="0.25"/>
    <row r="997" s="8" customFormat="1" x14ac:dyDescent="0.25"/>
    <row r="998" s="8" customFormat="1" x14ac:dyDescent="0.25"/>
    <row r="999" s="8" customFormat="1" x14ac:dyDescent="0.25"/>
    <row r="1000" s="8" customFormat="1" x14ac:dyDescent="0.25"/>
    <row r="1001" s="8" customFormat="1" x14ac:dyDescent="0.25"/>
    <row r="1002" s="8" customFormat="1" x14ac:dyDescent="0.25"/>
    <row r="1003" s="8" customFormat="1" x14ac:dyDescent="0.25"/>
    <row r="1004" s="8" customFormat="1" x14ac:dyDescent="0.25"/>
    <row r="1005" s="8" customFormat="1" x14ac:dyDescent="0.25"/>
    <row r="1006" s="8" customFormat="1" x14ac:dyDescent="0.25"/>
    <row r="1007" s="8" customFormat="1" x14ac:dyDescent="0.25"/>
    <row r="1008" s="8" customFormat="1" x14ac:dyDescent="0.25"/>
    <row r="1009" s="8" customFormat="1" x14ac:dyDescent="0.25"/>
    <row r="1010" s="8" customFormat="1" x14ac:dyDescent="0.25"/>
    <row r="1011" s="8" customFormat="1" x14ac:dyDescent="0.25"/>
    <row r="1012" s="8" customFormat="1" x14ac:dyDescent="0.25"/>
    <row r="1013" s="8" customFormat="1" x14ac:dyDescent="0.25"/>
    <row r="1014" s="8" customFormat="1" x14ac:dyDescent="0.25"/>
    <row r="1015" s="8" customFormat="1" x14ac:dyDescent="0.25"/>
    <row r="1016" s="8" customFormat="1" x14ac:dyDescent="0.25"/>
    <row r="1017" s="8" customFormat="1" x14ac:dyDescent="0.25"/>
    <row r="1018" s="8" customFormat="1" x14ac:dyDescent="0.25"/>
    <row r="1019" s="8" customFormat="1" x14ac:dyDescent="0.25"/>
    <row r="1020" s="8" customFormat="1" x14ac:dyDescent="0.25"/>
    <row r="1021" s="8" customFormat="1" x14ac:dyDescent="0.25"/>
    <row r="1022" s="8" customFormat="1" x14ac:dyDescent="0.25"/>
    <row r="1023" s="8" customFormat="1" x14ac:dyDescent="0.25"/>
    <row r="1024" s="8" customFormat="1" x14ac:dyDescent="0.25"/>
    <row r="1025" s="8" customFormat="1" x14ac:dyDescent="0.25"/>
    <row r="1026" s="8" customFormat="1" x14ac:dyDescent="0.25"/>
    <row r="1027" s="8" customFormat="1" x14ac:dyDescent="0.25"/>
    <row r="1028" s="8" customFormat="1" x14ac:dyDescent="0.25"/>
    <row r="1029" s="8" customFormat="1" x14ac:dyDescent="0.25"/>
    <row r="1030" s="8" customFormat="1" x14ac:dyDescent="0.25"/>
    <row r="1031" s="8" customFormat="1" x14ac:dyDescent="0.25"/>
    <row r="1032" s="8" customFormat="1" x14ac:dyDescent="0.25"/>
    <row r="1033" s="8" customFormat="1" x14ac:dyDescent="0.25"/>
    <row r="1034" s="8" customFormat="1" x14ac:dyDescent="0.25"/>
    <row r="1035" s="8" customFormat="1" x14ac:dyDescent="0.25"/>
    <row r="1036" s="8" customFormat="1" x14ac:dyDescent="0.25"/>
    <row r="1037" s="8" customFormat="1" x14ac:dyDescent="0.25"/>
    <row r="1038" s="8" customFormat="1" x14ac:dyDescent="0.25"/>
    <row r="1039" s="8" customFormat="1" x14ac:dyDescent="0.25"/>
    <row r="1040" s="8" customFormat="1" x14ac:dyDescent="0.25"/>
    <row r="1041" s="8" customFormat="1" x14ac:dyDescent="0.25"/>
    <row r="1042" s="8" customFormat="1" x14ac:dyDescent="0.25"/>
    <row r="1043" s="8" customFormat="1" x14ac:dyDescent="0.25"/>
    <row r="1044" s="8" customFormat="1" x14ac:dyDescent="0.25"/>
    <row r="1045" s="8" customFormat="1" x14ac:dyDescent="0.25"/>
    <row r="1046" s="8" customFormat="1" x14ac:dyDescent="0.25"/>
    <row r="1047" s="8" customFormat="1" x14ac:dyDescent="0.25"/>
    <row r="1048" s="8" customFormat="1" x14ac:dyDescent="0.25"/>
    <row r="1049" s="8" customFormat="1" x14ac:dyDescent="0.25"/>
    <row r="1050" s="8" customFormat="1" x14ac:dyDescent="0.25"/>
    <row r="1051" s="8" customFormat="1" x14ac:dyDescent="0.25"/>
    <row r="1052" s="8" customFormat="1" x14ac:dyDescent="0.25"/>
    <row r="1053" s="8" customFormat="1" x14ac:dyDescent="0.25"/>
    <row r="1054" s="8" customFormat="1" x14ac:dyDescent="0.25"/>
    <row r="1055" s="8" customFormat="1" x14ac:dyDescent="0.25"/>
    <row r="1056" s="8" customFormat="1" x14ac:dyDescent="0.25"/>
    <row r="1057" s="8" customFormat="1" x14ac:dyDescent="0.25"/>
    <row r="1058" s="8" customFormat="1" x14ac:dyDescent="0.25"/>
    <row r="1059" s="8" customFormat="1" x14ac:dyDescent="0.25"/>
    <row r="1060" s="8" customFormat="1" x14ac:dyDescent="0.25"/>
    <row r="1061" s="8" customFormat="1" x14ac:dyDescent="0.25"/>
    <row r="1062" s="8" customFormat="1" x14ac:dyDescent="0.25"/>
    <row r="1063" s="8" customFormat="1" x14ac:dyDescent="0.25"/>
    <row r="1064" s="8" customFormat="1" x14ac:dyDescent="0.25"/>
    <row r="1065" s="8" customFormat="1" x14ac:dyDescent="0.25"/>
    <row r="1066" s="8" customFormat="1" x14ac:dyDescent="0.25"/>
    <row r="1067" s="8" customFormat="1" x14ac:dyDescent="0.25"/>
    <row r="1068" s="8" customFormat="1" x14ac:dyDescent="0.25"/>
    <row r="1069" s="8" customFormat="1" x14ac:dyDescent="0.25"/>
    <row r="1070" s="8" customFormat="1" x14ac:dyDescent="0.25"/>
    <row r="1071" s="8" customFormat="1" x14ac:dyDescent="0.25"/>
    <row r="1072" s="8" customFormat="1" x14ac:dyDescent="0.25"/>
    <row r="1073" s="8" customFormat="1" x14ac:dyDescent="0.25"/>
    <row r="1074" s="8" customFormat="1" x14ac:dyDescent="0.25"/>
    <row r="1075" s="8" customFormat="1" x14ac:dyDescent="0.25"/>
    <row r="1076" s="8" customFormat="1" x14ac:dyDescent="0.25"/>
    <row r="1077" s="8" customFormat="1" x14ac:dyDescent="0.25"/>
    <row r="1078" s="8" customFormat="1" x14ac:dyDescent="0.25"/>
    <row r="1079" s="8" customFormat="1" x14ac:dyDescent="0.25"/>
    <row r="1080" s="8" customFormat="1" x14ac:dyDescent="0.25"/>
    <row r="1081" s="8" customFormat="1" x14ac:dyDescent="0.25"/>
    <row r="1082" s="8" customFormat="1" x14ac:dyDescent="0.25"/>
    <row r="1083" s="8" customFormat="1" x14ac:dyDescent="0.25"/>
    <row r="1084" s="8" customFormat="1" x14ac:dyDescent="0.25"/>
    <row r="1085" s="8" customFormat="1" x14ac:dyDescent="0.25"/>
    <row r="1086" s="8" customFormat="1" x14ac:dyDescent="0.25"/>
    <row r="1087" s="8" customFormat="1" x14ac:dyDescent="0.25"/>
    <row r="1088" s="8" customFormat="1" x14ac:dyDescent="0.25"/>
    <row r="1089" s="8" customFormat="1" x14ac:dyDescent="0.25"/>
    <row r="1090" s="8" customFormat="1" x14ac:dyDescent="0.25"/>
    <row r="1091" s="8" customFormat="1" x14ac:dyDescent="0.25"/>
    <row r="1092" s="8" customFormat="1" x14ac:dyDescent="0.25"/>
    <row r="1093" s="8" customFormat="1" x14ac:dyDescent="0.25"/>
    <row r="1094" s="8" customFormat="1" x14ac:dyDescent="0.25"/>
    <row r="1095" s="8" customFormat="1" x14ac:dyDescent="0.25"/>
    <row r="1096" s="8" customFormat="1" x14ac:dyDescent="0.25"/>
    <row r="1097" s="8" customFormat="1" x14ac:dyDescent="0.25"/>
    <row r="1098" s="8" customFormat="1" x14ac:dyDescent="0.25"/>
    <row r="1099" s="8" customFormat="1" x14ac:dyDescent="0.25"/>
    <row r="1100" s="8" customFormat="1" x14ac:dyDescent="0.25"/>
    <row r="1101" s="8" customFormat="1" x14ac:dyDescent="0.25"/>
    <row r="1102" s="8" customFormat="1" x14ac:dyDescent="0.25"/>
    <row r="1103" s="8" customFormat="1" x14ac:dyDescent="0.25"/>
    <row r="1104" s="8" customFormat="1" x14ac:dyDescent="0.25"/>
    <row r="1105" s="8" customFormat="1" x14ac:dyDescent="0.25"/>
    <row r="1106" s="8" customFormat="1" x14ac:dyDescent="0.25"/>
    <row r="1107" s="8" customFormat="1" x14ac:dyDescent="0.25"/>
    <row r="1108" s="8" customFormat="1" x14ac:dyDescent="0.25"/>
    <row r="1109" s="8" customFormat="1" x14ac:dyDescent="0.25"/>
    <row r="1110" s="8" customFormat="1" x14ac:dyDescent="0.25"/>
    <row r="1111" s="8" customFormat="1" x14ac:dyDescent="0.25"/>
    <row r="1112" s="8" customFormat="1" x14ac:dyDescent="0.25"/>
    <row r="1113" s="8" customFormat="1" x14ac:dyDescent="0.25"/>
    <row r="1114" s="8" customFormat="1" x14ac:dyDescent="0.25"/>
    <row r="1115" s="8" customFormat="1" x14ac:dyDescent="0.25"/>
    <row r="1116" s="8" customFormat="1" x14ac:dyDescent="0.25"/>
    <row r="1117" s="8" customFormat="1" x14ac:dyDescent="0.25"/>
    <row r="1118" s="8" customFormat="1" x14ac:dyDescent="0.25"/>
    <row r="1119" s="8" customFormat="1" x14ac:dyDescent="0.25"/>
    <row r="1120" s="8" customFormat="1" x14ac:dyDescent="0.25"/>
    <row r="1121" s="8" customFormat="1" x14ac:dyDescent="0.25"/>
    <row r="1122" s="8" customFormat="1" x14ac:dyDescent="0.25"/>
    <row r="1123" s="8" customFormat="1" x14ac:dyDescent="0.25"/>
    <row r="1124" s="8" customFormat="1" x14ac:dyDescent="0.25"/>
    <row r="1125" s="8" customFormat="1" x14ac:dyDescent="0.25"/>
    <row r="1126" s="8" customFormat="1" x14ac:dyDescent="0.25"/>
    <row r="1127" s="8" customFormat="1" x14ac:dyDescent="0.25"/>
    <row r="1128" s="8" customFormat="1" x14ac:dyDescent="0.25"/>
    <row r="1129" s="8" customFormat="1" x14ac:dyDescent="0.25"/>
    <row r="1130" s="8" customFormat="1" x14ac:dyDescent="0.25"/>
    <row r="1131" s="8" customFormat="1" x14ac:dyDescent="0.25"/>
    <row r="1132" s="8" customFormat="1" x14ac:dyDescent="0.25"/>
    <row r="1133" s="8" customFormat="1" x14ac:dyDescent="0.25"/>
    <row r="1134" s="8" customFormat="1" x14ac:dyDescent="0.25"/>
    <row r="1135" s="8" customFormat="1" x14ac:dyDescent="0.25"/>
    <row r="1136" s="8" customFormat="1" x14ac:dyDescent="0.25"/>
    <row r="1137" s="8" customFormat="1" x14ac:dyDescent="0.25"/>
    <row r="1138" s="8" customFormat="1" x14ac:dyDescent="0.25"/>
    <row r="1139" s="8" customFormat="1" x14ac:dyDescent="0.25"/>
    <row r="1140" s="8" customFormat="1" x14ac:dyDescent="0.25"/>
    <row r="1141" s="8" customFormat="1" x14ac:dyDescent="0.25"/>
    <row r="1142" s="8" customFormat="1" x14ac:dyDescent="0.25"/>
    <row r="1143" s="8" customFormat="1" x14ac:dyDescent="0.25"/>
    <row r="1144" s="8" customFormat="1" x14ac:dyDescent="0.25"/>
    <row r="1145" s="8" customFormat="1" x14ac:dyDescent="0.25"/>
    <row r="1146" s="8" customFormat="1" x14ac:dyDescent="0.25"/>
    <row r="1147" s="8" customFormat="1" x14ac:dyDescent="0.25"/>
    <row r="1148" s="8" customFormat="1" x14ac:dyDescent="0.25"/>
    <row r="1149" s="8" customFormat="1" x14ac:dyDescent="0.25"/>
    <row r="1150" s="8" customFormat="1" x14ac:dyDescent="0.25"/>
    <row r="1151" s="8" customFormat="1" x14ac:dyDescent="0.25"/>
    <row r="1152" s="8" customFormat="1" x14ac:dyDescent="0.25"/>
    <row r="1153" s="8" customFormat="1" x14ac:dyDescent="0.25"/>
    <row r="1154" s="8" customFormat="1" x14ac:dyDescent="0.25"/>
    <row r="1155" s="8" customFormat="1" x14ac:dyDescent="0.25"/>
    <row r="1156" s="8" customFormat="1" x14ac:dyDescent="0.25"/>
    <row r="1157" s="8" customFormat="1" x14ac:dyDescent="0.25"/>
    <row r="1158" s="8" customFormat="1" x14ac:dyDescent="0.25"/>
    <row r="1159" s="8" customFormat="1" x14ac:dyDescent="0.25"/>
    <row r="1160" s="8" customFormat="1" x14ac:dyDescent="0.25"/>
    <row r="1161" s="8" customFormat="1" x14ac:dyDescent="0.25"/>
    <row r="1162" s="8" customFormat="1" x14ac:dyDescent="0.25"/>
    <row r="1163" s="8" customFormat="1" x14ac:dyDescent="0.25"/>
    <row r="1164" s="8" customFormat="1" x14ac:dyDescent="0.25"/>
    <row r="1165" s="8" customFormat="1" x14ac:dyDescent="0.25"/>
    <row r="1166" s="8" customFormat="1" x14ac:dyDescent="0.25"/>
    <row r="1167" s="8" customFormat="1" x14ac:dyDescent="0.25"/>
    <row r="1168" s="8" customFormat="1" x14ac:dyDescent="0.25"/>
    <row r="1169" s="8" customFormat="1" x14ac:dyDescent="0.25"/>
    <row r="1170" s="8" customFormat="1" x14ac:dyDescent="0.25"/>
    <row r="1171" s="8" customFormat="1" x14ac:dyDescent="0.25"/>
    <row r="1172" s="8" customFormat="1" x14ac:dyDescent="0.25"/>
    <row r="1173" s="8" customFormat="1" x14ac:dyDescent="0.25"/>
    <row r="1174" s="8" customFormat="1" x14ac:dyDescent="0.25"/>
    <row r="1175" s="8" customFormat="1" x14ac:dyDescent="0.25"/>
    <row r="1176" s="8" customFormat="1" x14ac:dyDescent="0.25"/>
    <row r="1177" s="8" customFormat="1" x14ac:dyDescent="0.25"/>
    <row r="1178" s="8" customFormat="1" x14ac:dyDescent="0.25"/>
    <row r="1179" s="8" customFormat="1" x14ac:dyDescent="0.25"/>
    <row r="1180" s="8" customFormat="1" x14ac:dyDescent="0.25"/>
    <row r="1181" s="8" customFormat="1" x14ac:dyDescent="0.25"/>
    <row r="1182" s="8" customFormat="1" x14ac:dyDescent="0.25"/>
    <row r="1183" s="8" customFormat="1" x14ac:dyDescent="0.25"/>
    <row r="1184" s="8" customFormat="1" x14ac:dyDescent="0.25"/>
    <row r="1185" s="8" customFormat="1" x14ac:dyDescent="0.25"/>
    <row r="1186" s="8" customFormat="1" x14ac:dyDescent="0.25"/>
    <row r="1187" s="8" customFormat="1" x14ac:dyDescent="0.25"/>
    <row r="1188" s="8" customFormat="1" x14ac:dyDescent="0.25"/>
    <row r="1189" s="8" customFormat="1" x14ac:dyDescent="0.25"/>
    <row r="1190" s="8" customFormat="1" x14ac:dyDescent="0.25"/>
    <row r="1191" s="8" customFormat="1" x14ac:dyDescent="0.25"/>
    <row r="1192" s="8" customFormat="1" x14ac:dyDescent="0.25"/>
    <row r="1193" s="8" customFormat="1" x14ac:dyDescent="0.25"/>
    <row r="1194" s="8" customFormat="1" x14ac:dyDescent="0.25"/>
    <row r="1195" s="8" customFormat="1" x14ac:dyDescent="0.25"/>
    <row r="1196" s="8" customFormat="1" x14ac:dyDescent="0.25"/>
    <row r="1197" s="8" customFormat="1" x14ac:dyDescent="0.25"/>
    <row r="1198" s="8" customFormat="1" x14ac:dyDescent="0.25"/>
    <row r="1199" s="8" customFormat="1" x14ac:dyDescent="0.25"/>
    <row r="1200" s="8" customFormat="1" x14ac:dyDescent="0.25"/>
    <row r="1201" s="8" customFormat="1" x14ac:dyDescent="0.25"/>
    <row r="1202" s="8" customFormat="1" x14ac:dyDescent="0.25"/>
    <row r="1203" s="8" customFormat="1" x14ac:dyDescent="0.25"/>
    <row r="1204" s="8" customFormat="1" x14ac:dyDescent="0.25"/>
    <row r="1205" s="8" customFormat="1" x14ac:dyDescent="0.25"/>
    <row r="1206" s="8" customFormat="1" x14ac:dyDescent="0.25"/>
    <row r="1207" s="8" customFormat="1" x14ac:dyDescent="0.25"/>
    <row r="1208" s="8" customFormat="1" x14ac:dyDescent="0.25"/>
    <row r="1209" s="8" customFormat="1" x14ac:dyDescent="0.25"/>
    <row r="1210" s="8" customFormat="1" x14ac:dyDescent="0.25"/>
    <row r="1211" s="8" customFormat="1" x14ac:dyDescent="0.25"/>
    <row r="1212" s="8" customFormat="1" x14ac:dyDescent="0.25"/>
    <row r="1213" s="8" customFormat="1" x14ac:dyDescent="0.25"/>
    <row r="1214" s="8" customFormat="1" x14ac:dyDescent="0.25"/>
    <row r="1215" s="8" customFormat="1" x14ac:dyDescent="0.25"/>
    <row r="1216" s="8" customFormat="1" x14ac:dyDescent="0.25"/>
    <row r="1217" s="8" customFormat="1" x14ac:dyDescent="0.25"/>
    <row r="1218" s="8" customFormat="1" x14ac:dyDescent="0.25"/>
    <row r="1219" s="8" customFormat="1" x14ac:dyDescent="0.25"/>
    <row r="1220" s="8" customFormat="1" x14ac:dyDescent="0.25"/>
    <row r="1221" s="8" customFormat="1" x14ac:dyDescent="0.25"/>
    <row r="1222" s="8" customFormat="1" x14ac:dyDescent="0.25"/>
    <row r="1223" s="8" customFormat="1" x14ac:dyDescent="0.25"/>
    <row r="1224" s="8" customFormat="1" x14ac:dyDescent="0.25"/>
    <row r="1225" s="8" customFormat="1" x14ac:dyDescent="0.25"/>
    <row r="1226" s="8" customFormat="1" x14ac:dyDescent="0.25"/>
    <row r="1227" s="8" customFormat="1" x14ac:dyDescent="0.25"/>
    <row r="1228" s="8" customFormat="1" x14ac:dyDescent="0.25"/>
    <row r="1229" s="8" customFormat="1" x14ac:dyDescent="0.25"/>
    <row r="1230" s="8" customFormat="1" x14ac:dyDescent="0.25"/>
    <row r="1231" s="8" customFormat="1" x14ac:dyDescent="0.25"/>
    <row r="1232" s="8" customFormat="1" x14ac:dyDescent="0.25"/>
    <row r="1233" s="8" customFormat="1" x14ac:dyDescent="0.25"/>
    <row r="1234" s="8" customFormat="1" x14ac:dyDescent="0.25"/>
    <row r="1235" s="8" customFormat="1" x14ac:dyDescent="0.25"/>
    <row r="1236" s="8" customFormat="1" x14ac:dyDescent="0.25"/>
    <row r="1237" s="8" customFormat="1" x14ac:dyDescent="0.25"/>
    <row r="1238" s="8" customFormat="1" x14ac:dyDescent="0.25"/>
    <row r="1239" s="8" customFormat="1" x14ac:dyDescent="0.25"/>
    <row r="1240" s="8" customFormat="1" x14ac:dyDescent="0.25"/>
    <row r="1241" s="8" customFormat="1" x14ac:dyDescent="0.25"/>
    <row r="1242" s="8" customFormat="1" x14ac:dyDescent="0.25"/>
    <row r="1243" s="8" customFormat="1" x14ac:dyDescent="0.25"/>
    <row r="1244" s="8" customFormat="1" x14ac:dyDescent="0.25"/>
    <row r="1245" s="8" customFormat="1" x14ac:dyDescent="0.25"/>
    <row r="1246" s="8" customFormat="1" x14ac:dyDescent="0.25"/>
    <row r="1247" s="8" customFormat="1" x14ac:dyDescent="0.25"/>
    <row r="1248" s="8" customFormat="1" x14ac:dyDescent="0.25"/>
    <row r="1249" s="8" customFormat="1" x14ac:dyDescent="0.25"/>
    <row r="1250" s="8" customFormat="1" x14ac:dyDescent="0.25"/>
    <row r="1251" s="8" customFormat="1" x14ac:dyDescent="0.25"/>
    <row r="1252" s="8" customFormat="1" x14ac:dyDescent="0.25"/>
    <row r="1253" s="8" customFormat="1" x14ac:dyDescent="0.25"/>
    <row r="1254" s="8" customFormat="1" x14ac:dyDescent="0.25"/>
    <row r="1255" s="8" customFormat="1" x14ac:dyDescent="0.25"/>
    <row r="1256" s="8" customFormat="1" x14ac:dyDescent="0.25"/>
    <row r="1257" s="8" customFormat="1" x14ac:dyDescent="0.25"/>
    <row r="1258" s="8" customFormat="1" x14ac:dyDescent="0.25"/>
    <row r="1259" s="8" customFormat="1" x14ac:dyDescent="0.25"/>
    <row r="1260" s="8" customFormat="1" x14ac:dyDescent="0.25"/>
    <row r="1261" s="8" customFormat="1" x14ac:dyDescent="0.25"/>
    <row r="1262" s="8" customFormat="1" x14ac:dyDescent="0.25"/>
    <row r="1263" s="8" customFormat="1" x14ac:dyDescent="0.25"/>
    <row r="1264" s="8" customFormat="1" x14ac:dyDescent="0.25"/>
    <row r="1265" s="8" customFormat="1" x14ac:dyDescent="0.25"/>
    <row r="1266" s="8" customFormat="1" x14ac:dyDescent="0.25"/>
    <row r="1267" s="8" customFormat="1" x14ac:dyDescent="0.25"/>
    <row r="1268" s="8" customFormat="1" x14ac:dyDescent="0.25"/>
    <row r="1269" s="8" customFormat="1" x14ac:dyDescent="0.25"/>
    <row r="1270" s="8" customFormat="1" x14ac:dyDescent="0.25"/>
    <row r="1271" s="8" customFormat="1" x14ac:dyDescent="0.25"/>
    <row r="1272" s="8" customFormat="1" x14ac:dyDescent="0.25"/>
    <row r="1273" s="8" customFormat="1" x14ac:dyDescent="0.25"/>
    <row r="1274" s="8" customFormat="1" x14ac:dyDescent="0.25"/>
    <row r="1275" s="8" customFormat="1" x14ac:dyDescent="0.25"/>
    <row r="1276" s="8" customFormat="1" x14ac:dyDescent="0.25"/>
    <row r="1277" s="8" customFormat="1" x14ac:dyDescent="0.25"/>
    <row r="1278" s="8" customFormat="1" x14ac:dyDescent="0.25"/>
    <row r="1279" s="8" customFormat="1" x14ac:dyDescent="0.25"/>
    <row r="1280" s="8" customFormat="1" x14ac:dyDescent="0.25"/>
    <row r="1281" s="8" customFormat="1" x14ac:dyDescent="0.25"/>
    <row r="1282" s="8" customFormat="1" x14ac:dyDescent="0.25"/>
    <row r="1283" s="8" customFormat="1" x14ac:dyDescent="0.25"/>
    <row r="1284" s="8" customFormat="1" x14ac:dyDescent="0.25"/>
    <row r="1285" s="8" customFormat="1" x14ac:dyDescent="0.25"/>
    <row r="1286" s="8" customFormat="1" x14ac:dyDescent="0.25"/>
    <row r="1287" s="8" customFormat="1" x14ac:dyDescent="0.25"/>
    <row r="1288" s="8" customFormat="1" x14ac:dyDescent="0.25"/>
    <row r="1289" s="8" customFormat="1" x14ac:dyDescent="0.25"/>
    <row r="1290" s="8" customFormat="1" x14ac:dyDescent="0.25"/>
    <row r="1291" s="8" customFormat="1" x14ac:dyDescent="0.25"/>
    <row r="1292" s="8" customFormat="1" x14ac:dyDescent="0.25"/>
    <row r="1293" s="8" customFormat="1" x14ac:dyDescent="0.25"/>
    <row r="1294" s="8" customFormat="1" x14ac:dyDescent="0.25"/>
    <row r="1295" s="8" customFormat="1" x14ac:dyDescent="0.25"/>
    <row r="1296" s="8" customFormat="1" x14ac:dyDescent="0.25"/>
    <row r="1297" s="8" customFormat="1" x14ac:dyDescent="0.25"/>
    <row r="1298" s="8" customFormat="1" x14ac:dyDescent="0.25"/>
    <row r="1299" s="8" customFormat="1" x14ac:dyDescent="0.25"/>
    <row r="1300" s="8" customFormat="1" x14ac:dyDescent="0.25"/>
    <row r="1301" s="8" customFormat="1" x14ac:dyDescent="0.25"/>
    <row r="1302" s="8" customFormat="1" x14ac:dyDescent="0.25"/>
    <row r="1303" s="8" customFormat="1" x14ac:dyDescent="0.25"/>
    <row r="1304" s="8" customFormat="1" x14ac:dyDescent="0.25"/>
    <row r="1305" s="8" customFormat="1" x14ac:dyDescent="0.25"/>
    <row r="1306" s="8" customFormat="1" x14ac:dyDescent="0.25"/>
    <row r="1307" s="8" customFormat="1" x14ac:dyDescent="0.25"/>
    <row r="1308" s="8" customFormat="1" x14ac:dyDescent="0.25"/>
    <row r="1309" s="8" customFormat="1" x14ac:dyDescent="0.25"/>
    <row r="1310" s="8" customFormat="1" x14ac:dyDescent="0.25"/>
    <row r="1311" s="8" customFormat="1" x14ac:dyDescent="0.25"/>
    <row r="1312" s="8" customFormat="1" x14ac:dyDescent="0.25"/>
    <row r="1313" s="8" customFormat="1" x14ac:dyDescent="0.25"/>
    <row r="1314" s="8" customFormat="1" x14ac:dyDescent="0.25"/>
    <row r="1315" s="8" customFormat="1" x14ac:dyDescent="0.25"/>
    <row r="1316" s="8" customFormat="1" x14ac:dyDescent="0.25"/>
    <row r="1317" s="8" customFormat="1" x14ac:dyDescent="0.25"/>
    <row r="1318" s="8" customFormat="1" x14ac:dyDescent="0.25"/>
    <row r="1319" s="8" customFormat="1" x14ac:dyDescent="0.25"/>
    <row r="1320" s="8" customFormat="1" x14ac:dyDescent="0.25"/>
    <row r="1321" s="8" customFormat="1" x14ac:dyDescent="0.25"/>
    <row r="1322" s="8" customFormat="1" x14ac:dyDescent="0.25"/>
    <row r="1323" s="8" customFormat="1" x14ac:dyDescent="0.25"/>
    <row r="1324" s="8" customFormat="1" x14ac:dyDescent="0.25"/>
    <row r="1325" s="8" customFormat="1" x14ac:dyDescent="0.25"/>
    <row r="1326" s="8" customFormat="1" x14ac:dyDescent="0.25"/>
    <row r="1327" s="8" customFormat="1" x14ac:dyDescent="0.25"/>
    <row r="1328" s="8" customFormat="1" x14ac:dyDescent="0.25"/>
    <row r="1329" s="8" customFormat="1" x14ac:dyDescent="0.25"/>
    <row r="1330" s="8" customFormat="1" x14ac:dyDescent="0.25"/>
    <row r="1331" s="8" customFormat="1" x14ac:dyDescent="0.25"/>
    <row r="1332" s="8" customFormat="1" x14ac:dyDescent="0.25"/>
    <row r="1333" s="8" customFormat="1" x14ac:dyDescent="0.25"/>
    <row r="1334" s="8" customFormat="1" x14ac:dyDescent="0.25"/>
    <row r="1335" s="8" customFormat="1" x14ac:dyDescent="0.25"/>
    <row r="1336" s="8" customFormat="1" x14ac:dyDescent="0.25"/>
    <row r="1337" s="8" customFormat="1" x14ac:dyDescent="0.25"/>
    <row r="1338" s="8" customFormat="1" x14ac:dyDescent="0.25"/>
    <row r="1339" s="8" customFormat="1" x14ac:dyDescent="0.25"/>
    <row r="1340" s="8" customFormat="1" x14ac:dyDescent="0.25"/>
    <row r="1341" s="8" customFormat="1" x14ac:dyDescent="0.25"/>
    <row r="1342" s="8" customFormat="1" x14ac:dyDescent="0.25"/>
    <row r="1343" s="8" customFormat="1" x14ac:dyDescent="0.25"/>
    <row r="1344" s="8" customFormat="1" x14ac:dyDescent="0.25"/>
    <row r="1345" s="8" customFormat="1" x14ac:dyDescent="0.25"/>
    <row r="1346" s="8" customFormat="1" x14ac:dyDescent="0.25"/>
    <row r="1347" s="8" customFormat="1" x14ac:dyDescent="0.25"/>
    <row r="1348" s="8" customFormat="1" x14ac:dyDescent="0.25"/>
    <row r="1349" s="8" customFormat="1" x14ac:dyDescent="0.25"/>
    <row r="1350" s="8" customFormat="1" x14ac:dyDescent="0.25"/>
    <row r="1351" s="8" customFormat="1" x14ac:dyDescent="0.25"/>
    <row r="1352" s="8" customFormat="1" x14ac:dyDescent="0.25"/>
    <row r="1353" s="8" customFormat="1" x14ac:dyDescent="0.25"/>
    <row r="1354" s="8" customFormat="1" x14ac:dyDescent="0.25"/>
    <row r="1355" s="8" customFormat="1" x14ac:dyDescent="0.25"/>
    <row r="1356" s="8" customFormat="1" x14ac:dyDescent="0.25"/>
    <row r="1357" s="8" customFormat="1" x14ac:dyDescent="0.25"/>
    <row r="1358" s="8" customFormat="1" x14ac:dyDescent="0.25"/>
    <row r="1359" s="8" customFormat="1" x14ac:dyDescent="0.25"/>
    <row r="1360" s="8" customFormat="1" x14ac:dyDescent="0.25"/>
    <row r="1361" s="8" customFormat="1" x14ac:dyDescent="0.25"/>
    <row r="1362" s="8" customFormat="1" x14ac:dyDescent="0.25"/>
    <row r="1363" s="8" customFormat="1" x14ac:dyDescent="0.25"/>
    <row r="1364" s="8" customFormat="1" x14ac:dyDescent="0.25"/>
    <row r="1365" s="8" customFormat="1" x14ac:dyDescent="0.25"/>
    <row r="1366" s="8" customFormat="1" x14ac:dyDescent="0.25"/>
    <row r="1367" s="8" customFormat="1" x14ac:dyDescent="0.25"/>
    <row r="1368" s="8" customFormat="1" x14ac:dyDescent="0.25"/>
    <row r="1369" s="8" customFormat="1" x14ac:dyDescent="0.25"/>
    <row r="1370" s="8" customFormat="1" x14ac:dyDescent="0.25"/>
    <row r="1371" s="8" customFormat="1" x14ac:dyDescent="0.25"/>
    <row r="1372" s="8" customFormat="1" x14ac:dyDescent="0.25"/>
    <row r="1373" s="8" customFormat="1" x14ac:dyDescent="0.25"/>
    <row r="1374" s="8" customFormat="1" x14ac:dyDescent="0.25"/>
    <row r="1375" s="8" customFormat="1" x14ac:dyDescent="0.25"/>
    <row r="1376" s="8" customFormat="1" x14ac:dyDescent="0.25"/>
    <row r="1377" s="8" customFormat="1" x14ac:dyDescent="0.25"/>
    <row r="1378" s="8" customFormat="1" x14ac:dyDescent="0.25"/>
    <row r="1379" s="8" customFormat="1" x14ac:dyDescent="0.25"/>
    <row r="1380" s="8" customFormat="1" x14ac:dyDescent="0.25"/>
    <row r="1381" s="8" customFormat="1" x14ac:dyDescent="0.25"/>
    <row r="1382" s="8" customFormat="1" x14ac:dyDescent="0.25"/>
    <row r="1383" s="8" customFormat="1" x14ac:dyDescent="0.25"/>
    <row r="1384" s="8" customFormat="1" x14ac:dyDescent="0.25"/>
    <row r="1385" s="8" customFormat="1" x14ac:dyDescent="0.25"/>
    <row r="1386" s="8" customFormat="1" x14ac:dyDescent="0.25"/>
    <row r="1387" s="8" customFormat="1" x14ac:dyDescent="0.25"/>
    <row r="1388" s="8" customFormat="1" x14ac:dyDescent="0.25"/>
    <row r="1389" s="8" customFormat="1" x14ac:dyDescent="0.25"/>
    <row r="1390" s="8" customFormat="1" x14ac:dyDescent="0.25"/>
    <row r="1391" s="8" customFormat="1" x14ac:dyDescent="0.25"/>
    <row r="1392" s="8" customFormat="1" x14ac:dyDescent="0.25"/>
    <row r="1393" s="8" customFormat="1" x14ac:dyDescent="0.25"/>
    <row r="1394" s="8" customFormat="1" x14ac:dyDescent="0.25"/>
    <row r="1395" s="8" customFormat="1" x14ac:dyDescent="0.25"/>
    <row r="1396" s="8" customFormat="1" x14ac:dyDescent="0.25"/>
    <row r="1397" s="8" customFormat="1" x14ac:dyDescent="0.25"/>
    <row r="1398" s="8" customFormat="1" x14ac:dyDescent="0.25"/>
    <row r="1399" s="8" customFormat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E4347-8EAE-48EB-9911-121EA6F2BE76}">
  <dimension ref="A3:B7"/>
  <sheetViews>
    <sheetView workbookViewId="0">
      <selection activeCell="B4" sqref="B4"/>
    </sheetView>
  </sheetViews>
  <sheetFormatPr defaultRowHeight="15" x14ac:dyDescent="0.25"/>
  <cols>
    <col min="1" max="1" width="13.140625" bestFit="1" customWidth="1"/>
    <col min="2" max="2" width="12.7109375" bestFit="1" customWidth="1"/>
  </cols>
  <sheetData>
    <row r="3" spans="1:2" x14ac:dyDescent="0.25">
      <c r="A3" s="63" t="s">
        <v>63</v>
      </c>
      <c r="B3" t="s">
        <v>66</v>
      </c>
    </row>
    <row r="4" spans="1:2" x14ac:dyDescent="0.25">
      <c r="A4" s="64" t="s">
        <v>60</v>
      </c>
      <c r="B4" s="65">
        <v>45</v>
      </c>
    </row>
    <row r="5" spans="1:2" x14ac:dyDescent="0.25">
      <c r="A5" s="64" t="s">
        <v>61</v>
      </c>
      <c r="B5" s="65">
        <v>89</v>
      </c>
    </row>
    <row r="6" spans="1:2" x14ac:dyDescent="0.25">
      <c r="A6" s="64" t="s">
        <v>62</v>
      </c>
      <c r="B6" s="65">
        <v>39</v>
      </c>
    </row>
    <row r="7" spans="1:2" x14ac:dyDescent="0.25">
      <c r="A7" s="64" t="s">
        <v>64</v>
      </c>
      <c r="B7" s="65">
        <v>173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FBA24-F13A-4A06-AB60-EF81E36EFAD1}">
  <sheetPr>
    <tabColor theme="8" tint="0.39997558519241921"/>
    <pageSetUpPr fitToPage="1"/>
  </sheetPr>
  <dimension ref="B1:BO11"/>
  <sheetViews>
    <sheetView showGridLines="0" tabSelected="1" zoomScaleNormal="100" zoomScaleSheetLayoutView="80" workbookViewId="0">
      <selection activeCell="B5" sqref="B5"/>
    </sheetView>
  </sheetViews>
  <sheetFormatPr defaultColWidth="3.140625" defaultRowHeight="30" customHeight="1" x14ac:dyDescent="0.3"/>
  <cols>
    <col min="1" max="1" width="3" style="25" customWidth="1"/>
    <col min="2" max="2" width="17.85546875" style="28" customWidth="1"/>
    <col min="3" max="6" width="13.28515625" style="26" customWidth="1"/>
    <col min="7" max="7" width="17.85546875" style="27" customWidth="1"/>
    <col min="8" max="27" width="3.140625" style="26"/>
    <col min="28" max="16384" width="3.140625" style="25"/>
  </cols>
  <sheetData>
    <row r="1" spans="2:67" ht="60" customHeight="1" thickBot="1" x14ac:dyDescent="0.85">
      <c r="B1" s="58" t="s">
        <v>56</v>
      </c>
      <c r="C1" s="57"/>
      <c r="D1" s="57"/>
      <c r="E1" s="57"/>
      <c r="F1" s="57"/>
      <c r="G1" s="57"/>
    </row>
    <row r="2" spans="2:67" ht="21" customHeight="1" thickTop="1" thickBot="1" x14ac:dyDescent="0.3">
      <c r="B2" s="56" t="s">
        <v>55</v>
      </c>
      <c r="C2" s="56"/>
      <c r="D2" s="56"/>
      <c r="E2" s="56"/>
      <c r="F2" s="56"/>
      <c r="G2" s="55" t="s">
        <v>54</v>
      </c>
      <c r="H2" s="54">
        <v>1</v>
      </c>
      <c r="J2" s="53"/>
      <c r="K2" s="50" t="s">
        <v>53</v>
      </c>
      <c r="L2" s="52"/>
      <c r="M2" s="52"/>
      <c r="N2" s="52"/>
      <c r="O2" s="48"/>
      <c r="P2" s="51"/>
      <c r="Q2" s="50" t="s">
        <v>52</v>
      </c>
      <c r="R2" s="49"/>
      <c r="S2" s="49"/>
      <c r="T2" s="48"/>
      <c r="U2" s="47"/>
      <c r="V2" s="43" t="s">
        <v>51</v>
      </c>
      <c r="W2" s="42"/>
      <c r="X2" s="42"/>
      <c r="Y2" s="45"/>
      <c r="Z2" s="46"/>
      <c r="AA2" s="43" t="s">
        <v>50</v>
      </c>
      <c r="AB2" s="42"/>
      <c r="AC2" s="42"/>
      <c r="AD2" s="42"/>
      <c r="AE2" s="42"/>
      <c r="AF2" s="42"/>
      <c r="AG2" s="45"/>
      <c r="AH2" s="44"/>
      <c r="AI2" s="43" t="s">
        <v>49</v>
      </c>
      <c r="AJ2" s="42"/>
      <c r="AK2" s="42"/>
      <c r="AL2" s="42"/>
      <c r="AM2" s="42"/>
      <c r="AN2" s="42"/>
      <c r="AO2" s="42"/>
      <c r="AP2" s="42"/>
    </row>
    <row r="3" spans="2:67" s="35" customFormat="1" ht="39.950000000000003" customHeight="1" thickTop="1" x14ac:dyDescent="0.25">
      <c r="B3" s="41" t="s">
        <v>48</v>
      </c>
      <c r="C3" s="40" t="s">
        <v>47</v>
      </c>
      <c r="D3" s="40" t="s">
        <v>46</v>
      </c>
      <c r="E3" s="40" t="s">
        <v>45</v>
      </c>
      <c r="F3" s="40" t="s">
        <v>44</v>
      </c>
      <c r="G3" s="39" t="s">
        <v>43</v>
      </c>
      <c r="H3" s="38" t="s">
        <v>42</v>
      </c>
      <c r="I3" s="37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</row>
    <row r="4" spans="2:67" ht="15.75" customHeight="1" x14ac:dyDescent="0.25">
      <c r="B4" s="34"/>
      <c r="C4" s="33"/>
      <c r="D4" s="33"/>
      <c r="E4" s="33"/>
      <c r="F4" s="33"/>
      <c r="G4" s="33"/>
      <c r="H4" s="32">
        <v>1</v>
      </c>
      <c r="I4" s="32">
        <v>2</v>
      </c>
      <c r="J4" s="32">
        <v>3</v>
      </c>
      <c r="K4" s="32">
        <v>4</v>
      </c>
      <c r="L4" s="32">
        <v>5</v>
      </c>
      <c r="M4" s="32">
        <v>6</v>
      </c>
      <c r="N4" s="32">
        <v>7</v>
      </c>
      <c r="O4" s="32">
        <v>8</v>
      </c>
      <c r="P4" s="32">
        <v>9</v>
      </c>
      <c r="Q4" s="32">
        <v>10</v>
      </c>
      <c r="R4" s="32">
        <v>11</v>
      </c>
      <c r="S4" s="32">
        <v>12</v>
      </c>
      <c r="T4" s="32">
        <v>13</v>
      </c>
      <c r="U4" s="32">
        <v>14</v>
      </c>
      <c r="V4" s="32">
        <v>15</v>
      </c>
      <c r="W4" s="32">
        <v>16</v>
      </c>
      <c r="X4" s="32">
        <v>17</v>
      </c>
      <c r="Y4" s="32">
        <v>18</v>
      </c>
      <c r="Z4" s="32">
        <v>19</v>
      </c>
      <c r="AA4" s="32">
        <v>20</v>
      </c>
      <c r="AB4" s="32">
        <v>21</v>
      </c>
      <c r="AC4" s="32">
        <v>22</v>
      </c>
      <c r="AD4" s="32">
        <v>23</v>
      </c>
      <c r="AE4" s="32">
        <v>24</v>
      </c>
      <c r="AF4" s="32">
        <v>25</v>
      </c>
      <c r="AG4" s="32">
        <v>26</v>
      </c>
      <c r="AH4" s="32">
        <v>27</v>
      </c>
      <c r="AI4" s="32">
        <v>28</v>
      </c>
      <c r="AJ4" s="32">
        <v>29</v>
      </c>
      <c r="AK4" s="32">
        <v>30</v>
      </c>
      <c r="AL4" s="32">
        <v>31</v>
      </c>
      <c r="AM4" s="32">
        <v>32</v>
      </c>
      <c r="AN4" s="32">
        <v>33</v>
      </c>
      <c r="AO4" s="32">
        <v>34</v>
      </c>
      <c r="AP4" s="32">
        <v>35</v>
      </c>
      <c r="AQ4" s="32">
        <v>36</v>
      </c>
      <c r="AR4" s="32">
        <v>37</v>
      </c>
      <c r="AS4" s="32">
        <v>38</v>
      </c>
      <c r="AT4" s="32">
        <v>39</v>
      </c>
      <c r="AU4" s="32">
        <v>40</v>
      </c>
      <c r="AV4" s="32">
        <v>41</v>
      </c>
      <c r="AW4" s="32">
        <v>42</v>
      </c>
      <c r="AX4" s="32">
        <v>43</v>
      </c>
      <c r="AY4" s="32">
        <v>44</v>
      </c>
      <c r="AZ4" s="32">
        <v>45</v>
      </c>
      <c r="BA4" s="32">
        <v>46</v>
      </c>
      <c r="BB4" s="32">
        <v>47</v>
      </c>
      <c r="BC4" s="32">
        <v>48</v>
      </c>
      <c r="BD4" s="32">
        <v>49</v>
      </c>
      <c r="BE4" s="32">
        <v>50</v>
      </c>
      <c r="BF4" s="32">
        <v>51</v>
      </c>
      <c r="BG4" s="32">
        <v>52</v>
      </c>
      <c r="BH4" s="32">
        <v>53</v>
      </c>
      <c r="BI4" s="32">
        <v>54</v>
      </c>
      <c r="BJ4" s="32">
        <v>55</v>
      </c>
      <c r="BK4" s="32">
        <v>56</v>
      </c>
      <c r="BL4" s="32">
        <v>57</v>
      </c>
      <c r="BM4" s="32">
        <v>58</v>
      </c>
      <c r="BN4" s="32">
        <v>59</v>
      </c>
      <c r="BO4" s="32">
        <v>60</v>
      </c>
    </row>
    <row r="5" spans="2:67" ht="30" customHeight="1" x14ac:dyDescent="0.3">
      <c r="B5" s="31" t="str">
        <f>'Estimations - Detailed'!B3</f>
        <v>Requirement1</v>
      </c>
      <c r="C5" s="30">
        <v>1</v>
      </c>
      <c r="D5" s="61">
        <f>'Estimations - Detailed'!R3</f>
        <v>1</v>
      </c>
      <c r="E5" s="30">
        <v>1</v>
      </c>
      <c r="F5" s="61">
        <f>D5</f>
        <v>1</v>
      </c>
      <c r="G5" s="29">
        <v>0.25</v>
      </c>
    </row>
    <row r="6" spans="2:67" ht="30" customHeight="1" x14ac:dyDescent="0.3">
      <c r="B6" s="31" t="str">
        <f>'Estimations - Detailed'!B4</f>
        <v>Requirement2</v>
      </c>
      <c r="C6" s="30">
        <v>1</v>
      </c>
      <c r="D6" s="61">
        <f>'Estimations - Detailed'!R4</f>
        <v>2</v>
      </c>
      <c r="E6" s="30">
        <v>1</v>
      </c>
      <c r="F6" s="61">
        <f t="shared" ref="F6:F11" si="0">D6</f>
        <v>2</v>
      </c>
      <c r="G6" s="29">
        <v>1</v>
      </c>
    </row>
    <row r="7" spans="2:67" ht="30" customHeight="1" x14ac:dyDescent="0.3">
      <c r="B7" s="31" t="str">
        <f>'Estimations - Detailed'!B5</f>
        <v>Requirement3</v>
      </c>
      <c r="C7" s="30">
        <v>2</v>
      </c>
      <c r="D7" s="61">
        <f>'Estimations - Detailed'!R5</f>
        <v>1</v>
      </c>
      <c r="E7" s="30">
        <v>2</v>
      </c>
      <c r="F7" s="61">
        <f t="shared" si="0"/>
        <v>1</v>
      </c>
      <c r="G7" s="29">
        <v>0.35</v>
      </c>
    </row>
    <row r="8" spans="2:67" ht="30" customHeight="1" x14ac:dyDescent="0.3">
      <c r="B8" s="31" t="str">
        <f>'Estimations - Detailed'!B6</f>
        <v>Requirement4</v>
      </c>
      <c r="C8" s="30">
        <v>3</v>
      </c>
      <c r="D8" s="61">
        <f>'Estimations - Detailed'!R6</f>
        <v>1</v>
      </c>
      <c r="E8" s="30">
        <v>3</v>
      </c>
      <c r="F8" s="61">
        <f t="shared" si="0"/>
        <v>1</v>
      </c>
      <c r="G8" s="29">
        <v>0.1</v>
      </c>
    </row>
    <row r="9" spans="2:67" ht="30" customHeight="1" x14ac:dyDescent="0.3">
      <c r="B9" s="31" t="str">
        <f>'Estimations - Detailed'!B7</f>
        <v>Requirement5</v>
      </c>
      <c r="C9" s="30">
        <v>3</v>
      </c>
      <c r="D9" s="61">
        <f>'Estimations - Detailed'!R7</f>
        <v>1</v>
      </c>
      <c r="E9" s="30">
        <v>3</v>
      </c>
      <c r="F9" s="61">
        <f t="shared" si="0"/>
        <v>1</v>
      </c>
      <c r="G9" s="29">
        <v>0.85</v>
      </c>
    </row>
    <row r="10" spans="2:67" ht="30" customHeight="1" x14ac:dyDescent="0.3">
      <c r="B10" s="31" t="str">
        <f>'Estimations - Detailed'!B8</f>
        <v>Requirement6</v>
      </c>
      <c r="C10" s="30">
        <v>4</v>
      </c>
      <c r="D10" s="61">
        <f>'Estimations - Detailed'!R8</f>
        <v>1</v>
      </c>
      <c r="E10" s="30">
        <v>4</v>
      </c>
      <c r="F10" s="61">
        <f t="shared" si="0"/>
        <v>1</v>
      </c>
      <c r="G10" s="29">
        <v>0.85</v>
      </c>
    </row>
    <row r="11" spans="2:67" ht="30" customHeight="1" x14ac:dyDescent="0.3">
      <c r="B11" s="31" t="str">
        <f>'Estimations - Detailed'!B9</f>
        <v>Requirement7</v>
      </c>
      <c r="C11" s="30">
        <v>4</v>
      </c>
      <c r="D11" s="61">
        <f>'Estimations - Detailed'!R9</f>
        <v>1</v>
      </c>
      <c r="E11" s="30">
        <v>4</v>
      </c>
      <c r="F11" s="61">
        <f t="shared" si="0"/>
        <v>1</v>
      </c>
      <c r="G11" s="29">
        <v>0.5</v>
      </c>
    </row>
  </sheetData>
  <mergeCells count="12">
    <mergeCell ref="V2:Y2"/>
    <mergeCell ref="AA2:AG2"/>
    <mergeCell ref="AI2:AP2"/>
    <mergeCell ref="B2:F2"/>
    <mergeCell ref="B3:B4"/>
    <mergeCell ref="C3:C4"/>
    <mergeCell ref="D3:D4"/>
    <mergeCell ref="E3:E4"/>
    <mergeCell ref="F3:F4"/>
    <mergeCell ref="G3:G4"/>
    <mergeCell ref="K2:O2"/>
    <mergeCell ref="Q2:T2"/>
  </mergeCells>
  <conditionalFormatting sqref="H5:BO11">
    <cfRule type="expression" dxfId="19" priority="1">
      <formula>PercentComplete</formula>
    </cfRule>
    <cfRule type="expression" dxfId="18" priority="3">
      <formula>PercentCompleteBeyond</formula>
    </cfRule>
    <cfRule type="expression" dxfId="17" priority="4">
      <formula>Actual</formula>
    </cfRule>
    <cfRule type="expression" dxfId="16" priority="5">
      <formula>ActualBeyond</formula>
    </cfRule>
    <cfRule type="expression" dxfId="15" priority="6">
      <formula>Plan</formula>
    </cfRule>
    <cfRule type="expression" dxfId="14" priority="7">
      <formula>H$4=period_selected</formula>
    </cfRule>
    <cfRule type="expression" dxfId="13" priority="9">
      <formula>MOD(COLUMN(),2)</formula>
    </cfRule>
    <cfRule type="expression" dxfId="12" priority="10">
      <formula>MOD(COLUMN(),2)=0</formula>
    </cfRule>
  </conditionalFormatting>
  <conditionalFormatting sqref="B12:BO12">
    <cfRule type="expression" dxfId="11" priority="2">
      <formula>TRUE</formula>
    </cfRule>
  </conditionalFormatting>
  <conditionalFormatting sqref="H4:BO4">
    <cfRule type="expression" dxfId="10" priority="8">
      <formula>H$4=period_selected</formula>
    </cfRule>
  </conditionalFormatting>
  <dataValidations count="16">
    <dataValidation allowBlank="1" showInputMessage="1" showErrorMessage="1" prompt="Select a period to highlight in H2. A Chart legend is in J2 to AI2" sqref="B2:F2" xr:uid="{00000000-0002-0000-0000-00000F000000}"/>
    <dataValidation allowBlank="1" showInputMessage="1" showErrorMessage="1" prompt="Title of the project. Enter a new title in this cell. Highlight a period in H2. Chart legend is in J2 to AI2" sqref="B1" xr:uid="{00000000-0002-0000-0000-00000E000000}"/>
    <dataValidation allowBlank="1" showInputMessage="1" showErrorMessage="1" prompt="Enter the percentage of project completed in column G, starting with cell G5" sqref="G3:G4" xr:uid="{00000000-0002-0000-0000-00000D000000}"/>
    <dataValidation allowBlank="1" showInputMessage="1" showErrorMessage="1" prompt="Enter actual duration period in column F, starting with cell F5" sqref="F3:F4" xr:uid="{00000000-0002-0000-0000-00000C000000}"/>
    <dataValidation allowBlank="1" showInputMessage="1" showErrorMessage="1" prompt="Enter actual start period in column E, starting with cell E5" sqref="E3:E4" xr:uid="{00000000-0002-0000-0000-00000B000000}"/>
    <dataValidation allowBlank="1" showInputMessage="1" showErrorMessage="1" prompt="Enter plan duration period in column D, starting with cell D5" sqref="D3:D4" xr:uid="{00000000-0002-0000-0000-00000A000000}"/>
    <dataValidation allowBlank="1" showInputMessage="1" showErrorMessage="1" prompt="Enter plan start period in column C, starting with cell C5" sqref="C3:C4" xr:uid="{00000000-0002-0000-0000-000009000000}"/>
    <dataValidation allowBlank="1" showInputMessage="1" showErrorMessage="1" prompt="Enter activity in column B, starting with cell B5_x000a_" sqref="B3:B4" xr:uid="{00000000-0002-0000-0000-000008000000}"/>
    <dataValidation allowBlank="1" showInputMessage="1" showErrorMessage="1" prompt="Periods are charted from 1 to 60 starting from cell H4 to cell BO4 " sqref="H3" xr:uid="{00000000-0002-0000-0000-000007000000}"/>
    <dataValidation allowBlank="1" showInputMessage="1" showErrorMessage="1" prompt="This legend cell indicates the percentage of project completed beyond plan" sqref="AH2" xr:uid="{00000000-0002-0000-0000-000006000000}"/>
    <dataValidation allowBlank="1" showInputMessage="1" showErrorMessage="1" prompt="This legend cell indicates actual duration beyond plan" sqref="Z2" xr:uid="{00000000-0002-0000-0000-000005000000}"/>
    <dataValidation allowBlank="1" showInputMessage="1" showErrorMessage="1" prompt="This legend cell indicates the percentage of project completed" sqref="U2" xr:uid="{00000000-0002-0000-0000-000004000000}"/>
    <dataValidation allowBlank="1" showInputMessage="1" showErrorMessage="1" prompt="This legend cell indicates actual duration" sqref="P2" xr:uid="{00000000-0002-0000-0000-000003000000}"/>
    <dataValidation allowBlank="1" showInputMessage="1" showErrorMessage="1" prompt="This legend cell indicates plan duration" sqref="J2" xr:uid="{00000000-0002-0000-0000-000002000000}"/>
    <dataValidation type="list" errorStyle="warning" allowBlank="1" showInputMessage="1" showErrorMessage="1" error="Type a value from 1 to 60 or select a period from the list-press  CANCEL, ALT+DOWN ARROW, then ENTER to select a value" prompt="Enter a period in the range of 1 to 60 or select a period from the list. Press ALT+DOWN ARROW to navigate the list, then ENTER to select a value" sqref="H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Project planner uses periods for intervals. Start=1 is period 1 and duration=5 means project spans 5 periods starting from start period. Enter data starting in B5 to update the chart" sqref="A1" xr:uid="{00000000-0002-0000-0000-000000000000}"/>
  </dataValidations>
  <printOptions horizontalCentered="1"/>
  <pageMargins left="0.45" right="0.45" top="0.5" bottom="0.5" header="0.3" footer="0.3"/>
  <pageSetup scale="51" fitToHeight="0" orientation="landscape" r:id="rId1"/>
  <headerFooter differentFirst="1">
    <oddFooter>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26F0C-F65F-404A-BDD7-C3B05162154E}">
  <sheetPr>
    <tabColor theme="7"/>
    <pageSetUpPr fitToPage="1"/>
  </sheetPr>
  <dimension ref="B1:BO7"/>
  <sheetViews>
    <sheetView showGridLines="0" zoomScaleNormal="100" zoomScaleSheetLayoutView="80" workbookViewId="0">
      <selection activeCell="K12" sqref="K12"/>
    </sheetView>
  </sheetViews>
  <sheetFormatPr defaultColWidth="3.140625" defaultRowHeight="30" customHeight="1" x14ac:dyDescent="0.3"/>
  <cols>
    <col min="1" max="1" width="3" style="25" customWidth="1"/>
    <col min="2" max="2" width="17.85546875" style="28" customWidth="1"/>
    <col min="3" max="6" width="13.28515625" style="26" customWidth="1"/>
    <col min="7" max="7" width="17.85546875" style="27" customWidth="1"/>
    <col min="8" max="27" width="3.140625" style="26"/>
    <col min="28" max="16384" width="3.140625" style="25"/>
  </cols>
  <sheetData>
    <row r="1" spans="2:67" ht="60" customHeight="1" thickBot="1" x14ac:dyDescent="0.85">
      <c r="B1" s="58" t="s">
        <v>56</v>
      </c>
      <c r="C1" s="57"/>
      <c r="D1" s="57"/>
      <c r="E1" s="57"/>
      <c r="F1" s="57"/>
      <c r="G1" s="57"/>
    </row>
    <row r="2" spans="2:67" ht="21" customHeight="1" thickTop="1" thickBot="1" x14ac:dyDescent="0.3">
      <c r="B2" s="56" t="s">
        <v>55</v>
      </c>
      <c r="C2" s="56"/>
      <c r="D2" s="56"/>
      <c r="E2" s="56"/>
      <c r="F2" s="56"/>
      <c r="G2" s="55" t="s">
        <v>54</v>
      </c>
      <c r="H2" s="54">
        <v>1</v>
      </c>
      <c r="J2" s="53"/>
      <c r="K2" s="50" t="s">
        <v>53</v>
      </c>
      <c r="L2" s="52"/>
      <c r="M2" s="52"/>
      <c r="N2" s="52"/>
      <c r="O2" s="48"/>
      <c r="P2" s="51"/>
      <c r="Q2" s="50" t="s">
        <v>52</v>
      </c>
      <c r="R2" s="49"/>
      <c r="S2" s="49"/>
      <c r="T2" s="48"/>
      <c r="U2" s="47"/>
      <c r="V2" s="43" t="s">
        <v>51</v>
      </c>
      <c r="W2" s="42"/>
      <c r="X2" s="42"/>
      <c r="Y2" s="45"/>
      <c r="Z2" s="46"/>
      <c r="AA2" s="43" t="s">
        <v>50</v>
      </c>
      <c r="AB2" s="42"/>
      <c r="AC2" s="42"/>
      <c r="AD2" s="42"/>
      <c r="AE2" s="42"/>
      <c r="AF2" s="42"/>
      <c r="AG2" s="45"/>
      <c r="AH2" s="44"/>
      <c r="AI2" s="43" t="s">
        <v>49</v>
      </c>
      <c r="AJ2" s="42"/>
      <c r="AK2" s="42"/>
      <c r="AL2" s="42"/>
      <c r="AM2" s="42"/>
      <c r="AN2" s="42"/>
      <c r="AO2" s="42"/>
      <c r="AP2" s="42"/>
    </row>
    <row r="3" spans="2:67" s="35" customFormat="1" ht="39.950000000000003" customHeight="1" thickTop="1" x14ac:dyDescent="0.25">
      <c r="B3" s="41" t="s">
        <v>48</v>
      </c>
      <c r="C3" s="40" t="s">
        <v>47</v>
      </c>
      <c r="D3" s="40" t="s">
        <v>46</v>
      </c>
      <c r="E3" s="40" t="s">
        <v>45</v>
      </c>
      <c r="F3" s="40" t="s">
        <v>44</v>
      </c>
      <c r="G3" s="39" t="s">
        <v>43</v>
      </c>
      <c r="H3" s="38" t="s">
        <v>67</v>
      </c>
      <c r="I3" s="37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</row>
    <row r="4" spans="2:67" ht="15.75" customHeight="1" x14ac:dyDescent="0.25">
      <c r="B4" s="34"/>
      <c r="C4" s="33"/>
      <c r="D4" s="33"/>
      <c r="E4" s="33"/>
      <c r="F4" s="33"/>
      <c r="G4" s="33"/>
      <c r="H4" s="32">
        <v>1</v>
      </c>
      <c r="I4" s="32">
        <v>2</v>
      </c>
      <c r="J4" s="32">
        <v>3</v>
      </c>
      <c r="K4" s="32">
        <v>4</v>
      </c>
      <c r="L4" s="32">
        <v>5</v>
      </c>
      <c r="M4" s="32">
        <v>6</v>
      </c>
      <c r="N4" s="32">
        <v>7</v>
      </c>
      <c r="O4" s="32">
        <v>8</v>
      </c>
      <c r="P4" s="32">
        <v>9</v>
      </c>
      <c r="Q4" s="32">
        <v>10</v>
      </c>
      <c r="R4" s="32">
        <v>11</v>
      </c>
      <c r="S4" s="32">
        <v>12</v>
      </c>
      <c r="T4" s="32">
        <v>13</v>
      </c>
      <c r="U4" s="32">
        <v>14</v>
      </c>
      <c r="V4" s="32">
        <v>15</v>
      </c>
      <c r="W4" s="32">
        <v>16</v>
      </c>
      <c r="X4" s="32">
        <v>17</v>
      </c>
      <c r="Y4" s="32">
        <v>18</v>
      </c>
      <c r="Z4" s="32">
        <v>19</v>
      </c>
      <c r="AA4" s="32">
        <v>20</v>
      </c>
      <c r="AB4" s="32">
        <v>21</v>
      </c>
      <c r="AC4" s="32">
        <v>22</v>
      </c>
      <c r="AD4" s="32">
        <v>23</v>
      </c>
      <c r="AE4" s="32">
        <v>24</v>
      </c>
      <c r="AF4" s="32">
        <v>25</v>
      </c>
      <c r="AG4" s="32">
        <v>26</v>
      </c>
      <c r="AH4" s="32">
        <v>27</v>
      </c>
      <c r="AI4" s="32">
        <v>28</v>
      </c>
      <c r="AJ4" s="32">
        <v>29</v>
      </c>
      <c r="AK4" s="32">
        <v>30</v>
      </c>
      <c r="AL4" s="32">
        <v>31</v>
      </c>
      <c r="AM4" s="32">
        <v>32</v>
      </c>
      <c r="AN4" s="32">
        <v>33</v>
      </c>
      <c r="AO4" s="32">
        <v>34</v>
      </c>
      <c r="AP4" s="32">
        <v>35</v>
      </c>
      <c r="AQ4" s="32">
        <v>36</v>
      </c>
      <c r="AR4" s="32">
        <v>37</v>
      </c>
      <c r="AS4" s="32">
        <v>38</v>
      </c>
      <c r="AT4" s="32">
        <v>39</v>
      </c>
      <c r="AU4" s="32">
        <v>40</v>
      </c>
      <c r="AV4" s="32">
        <v>41</v>
      </c>
      <c r="AW4" s="32">
        <v>42</v>
      </c>
      <c r="AX4" s="32">
        <v>43</v>
      </c>
      <c r="AY4" s="32">
        <v>44</v>
      </c>
      <c r="AZ4" s="32">
        <v>45</v>
      </c>
      <c r="BA4" s="32">
        <v>46</v>
      </c>
      <c r="BB4" s="32">
        <v>47</v>
      </c>
      <c r="BC4" s="32">
        <v>48</v>
      </c>
      <c r="BD4" s="32">
        <v>49</v>
      </c>
      <c r="BE4" s="32">
        <v>50</v>
      </c>
      <c r="BF4" s="32">
        <v>51</v>
      </c>
      <c r="BG4" s="32">
        <v>52</v>
      </c>
      <c r="BH4" s="32">
        <v>53</v>
      </c>
      <c r="BI4" s="32">
        <v>54</v>
      </c>
      <c r="BJ4" s="32">
        <v>55</v>
      </c>
      <c r="BK4" s="32">
        <v>56</v>
      </c>
      <c r="BL4" s="32">
        <v>57</v>
      </c>
      <c r="BM4" s="32">
        <v>58</v>
      </c>
      <c r="BN4" s="32">
        <v>59</v>
      </c>
      <c r="BO4" s="32">
        <v>60</v>
      </c>
    </row>
    <row r="5" spans="2:67" ht="30" customHeight="1" x14ac:dyDescent="0.3">
      <c r="B5" s="31" t="str">
        <f>TeamSummary!A4</f>
        <v>Team 1</v>
      </c>
      <c r="C5" s="30">
        <v>1</v>
      </c>
      <c r="D5" s="61">
        <f>GETPIVOTDATA("FE+BE",TeamSummary!$A$3,"Team",B5)*'Estimations - Detailed'!$D$14/('Estimations - Detailed'!$D$15*SUM('Estimations - Detailed'!H$13:I$13))</f>
        <v>1.125</v>
      </c>
      <c r="E5" s="30">
        <v>1</v>
      </c>
      <c r="F5" s="61">
        <f>D5</f>
        <v>1.125</v>
      </c>
      <c r="G5" s="29">
        <v>0.25</v>
      </c>
    </row>
    <row r="6" spans="2:67" ht="30" customHeight="1" x14ac:dyDescent="0.3">
      <c r="B6" s="31" t="str">
        <f>TeamSummary!A5</f>
        <v>Team 2</v>
      </c>
      <c r="C6" s="30">
        <v>1</v>
      </c>
      <c r="D6" s="61">
        <f>GETPIVOTDATA("FE+BE",TeamSummary!$A$3,"Team",B6)*'Estimations - Detailed'!$D$14/('Estimations - Detailed'!$D$15*SUM('Estimations - Detailed'!H$13:I$13))</f>
        <v>2.2250000000000001</v>
      </c>
      <c r="E6" s="30">
        <v>1</v>
      </c>
      <c r="F6" s="61">
        <f t="shared" ref="F6:F7" si="0">D6</f>
        <v>2.2250000000000001</v>
      </c>
      <c r="G6" s="29">
        <v>1</v>
      </c>
    </row>
    <row r="7" spans="2:67" ht="30" customHeight="1" x14ac:dyDescent="0.3">
      <c r="B7" s="31" t="str">
        <f>TeamSummary!A6</f>
        <v>Team 3</v>
      </c>
      <c r="C7" s="30">
        <v>1</v>
      </c>
      <c r="D7" s="61">
        <f>GETPIVOTDATA("FE+BE",TeamSummary!$A$3,"Team",B7)*'Estimations - Detailed'!$D$14/('Estimations - Detailed'!$D$15*SUM('Estimations - Detailed'!H$13:I$13))</f>
        <v>0.97499999999999998</v>
      </c>
      <c r="E7" s="30">
        <v>1</v>
      </c>
      <c r="F7" s="61">
        <f t="shared" si="0"/>
        <v>0.97499999999999998</v>
      </c>
      <c r="G7" s="29">
        <v>0.35</v>
      </c>
    </row>
  </sheetData>
  <mergeCells count="12">
    <mergeCell ref="B3:B4"/>
    <mergeCell ref="C3:C4"/>
    <mergeCell ref="D3:D4"/>
    <mergeCell ref="E3:E4"/>
    <mergeCell ref="F3:F4"/>
    <mergeCell ref="G3:G4"/>
    <mergeCell ref="B2:F2"/>
    <mergeCell ref="K2:O2"/>
    <mergeCell ref="Q2:T2"/>
    <mergeCell ref="V2:Y2"/>
    <mergeCell ref="AA2:AG2"/>
    <mergeCell ref="AI2:AP2"/>
  </mergeCells>
  <conditionalFormatting sqref="H5:BO7">
    <cfRule type="expression" dxfId="9" priority="1">
      <formula>PercentComplete</formula>
    </cfRule>
    <cfRule type="expression" dxfId="8" priority="3">
      <formula>PercentCompleteBeyond</formula>
    </cfRule>
    <cfRule type="expression" dxfId="7" priority="4">
      <formula>Actual</formula>
    </cfRule>
    <cfRule type="expression" dxfId="6" priority="5">
      <formula>ActualBeyond</formula>
    </cfRule>
    <cfRule type="expression" dxfId="5" priority="6">
      <formula>Plan</formula>
    </cfRule>
    <cfRule type="expression" dxfId="4" priority="7">
      <formula>H$4=period_selected</formula>
    </cfRule>
    <cfRule type="expression" dxfId="3" priority="9">
      <formula>MOD(COLUMN(),2)</formula>
    </cfRule>
    <cfRule type="expression" dxfId="2" priority="10">
      <formula>MOD(COLUMN(),2)=0</formula>
    </cfRule>
  </conditionalFormatting>
  <conditionalFormatting sqref="B8:BO8">
    <cfRule type="expression" dxfId="1" priority="2">
      <formula>TRUE</formula>
    </cfRule>
  </conditionalFormatting>
  <conditionalFormatting sqref="H4:BO4">
    <cfRule type="expression" dxfId="0" priority="8">
      <formula>H$4=period_selected</formula>
    </cfRule>
  </conditionalFormatting>
  <dataValidations count="16">
    <dataValidation allowBlank="1" showInputMessage="1" showErrorMessage="1" prompt="Project planner uses periods for intervals. Start=1 is period 1 and duration=5 means project spans 5 periods starting from start period. Enter data starting in B5 to update the chart" sqref="A1" xr:uid="{1BD09AB6-07FC-451C-BC5D-FC83A661964E}"/>
    <dataValidation type="list" errorStyle="warning" allowBlank="1" showInputMessage="1" showErrorMessage="1" error="Type a value from 1 to 60 or select a period from the list-press  CANCEL, ALT+DOWN ARROW, then ENTER to select a value" prompt="Enter a period in the range of 1 to 60 or select a period from the list. Press ALT+DOWN ARROW to navigate the list, then ENTER to select a value" sqref="H2" xr:uid="{6BB9B25F-7050-4183-8BC3-77FC74C42FE4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This legend cell indicates plan duration" sqref="J2" xr:uid="{0C638222-AC54-4F15-827A-793CF7D7CB88}"/>
    <dataValidation allowBlank="1" showInputMessage="1" showErrorMessage="1" prompt="This legend cell indicates actual duration" sqref="P2" xr:uid="{AE8BB1CB-0BBC-472F-A2B4-2EBB80976936}"/>
    <dataValidation allowBlank="1" showInputMessage="1" showErrorMessage="1" prompt="This legend cell indicates the percentage of project completed" sqref="U2" xr:uid="{CE6952DA-18D2-4C31-B325-BAB74C91DA0B}"/>
    <dataValidation allowBlank="1" showInputMessage="1" showErrorMessage="1" prompt="This legend cell indicates actual duration beyond plan" sqref="Z2" xr:uid="{759EF1D0-6B38-4C90-BC4D-B9AB1593042B}"/>
    <dataValidation allowBlank="1" showInputMessage="1" showErrorMessage="1" prompt="This legend cell indicates the percentage of project completed beyond plan" sqref="AH2" xr:uid="{25EFEBCD-791F-4939-AF84-67A70186AF3F}"/>
    <dataValidation allowBlank="1" showInputMessage="1" showErrorMessage="1" prompt="Periods are charted from 1 to 60 starting from cell H4 to cell BO4 " sqref="H3" xr:uid="{B63CE64F-2390-43F0-A489-0A0F3209891B}"/>
    <dataValidation allowBlank="1" showInputMessage="1" showErrorMessage="1" prompt="Enter activity in column B, starting with cell B5_x000a_" sqref="B3:B4" xr:uid="{4406BCB1-0D1B-4BBD-8DBB-98AD4D0D5501}"/>
    <dataValidation allowBlank="1" showInputMessage="1" showErrorMessage="1" prompt="Enter plan start period in column C, starting with cell C5" sqref="C3:C4" xr:uid="{F6B5D3D5-AB86-4275-B3F0-D713E3B0BA0F}"/>
    <dataValidation allowBlank="1" showInputMessage="1" showErrorMessage="1" prompt="Enter plan duration period in column D, starting with cell D5" sqref="D3:D4" xr:uid="{4579E6DE-ABDF-4788-96A7-F840362E69DF}"/>
    <dataValidation allowBlank="1" showInputMessage="1" showErrorMessage="1" prompt="Enter actual start period in column E, starting with cell E5" sqref="E3:E4" xr:uid="{B8AB6F79-2366-4078-918B-AFF15D79617E}"/>
    <dataValidation allowBlank="1" showInputMessage="1" showErrorMessage="1" prompt="Enter actual duration period in column F, starting with cell F5" sqref="F3:F4" xr:uid="{EB1C46F0-9CB2-4838-AC3B-3E9C89184ACB}"/>
    <dataValidation allowBlank="1" showInputMessage="1" showErrorMessage="1" prompt="Enter the percentage of project completed in column G, starting with cell G5" sqref="G3:G4" xr:uid="{A783F6EE-9F80-4D22-A3EB-220B5612857F}"/>
    <dataValidation allowBlank="1" showInputMessage="1" showErrorMessage="1" prompt="Title of the project. Enter a new title in this cell. Highlight a period in H2. Chart legend is in J2 to AI2" sqref="B1" xr:uid="{E205ACBF-24E6-412C-B6FC-AD0A8E687540}"/>
    <dataValidation allowBlank="1" showInputMessage="1" showErrorMessage="1" prompt="Select a period to highlight in H2. A Chart legend is in J2 to AI2" sqref="B2:F2" xr:uid="{4A4B01D9-BB57-4EC3-82E0-FFE6DF4EA8A3}"/>
  </dataValidations>
  <printOptions horizontalCentered="1"/>
  <pageMargins left="0.45" right="0.45" top="0.5" bottom="0.5" header="0.3" footer="0.3"/>
  <pageSetup scale="51" fitToHeight="0" orientation="landscape" r:id="rId1"/>
  <headerFooter differentFirst="1"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Estimations - Summary</vt:lpstr>
      <vt:lpstr>Estimations - Detailed</vt:lpstr>
      <vt:lpstr>T-Shirt Sizing</vt:lpstr>
      <vt:lpstr>TeamSummary</vt:lpstr>
      <vt:lpstr>Project Planner</vt:lpstr>
      <vt:lpstr>Team Planner</vt:lpstr>
      <vt:lpstr>'Team Planner'!period_selected</vt:lpstr>
      <vt:lpstr>period_selected</vt:lpstr>
      <vt:lpstr>'Project Planner'!Print_Titles</vt:lpstr>
      <vt:lpstr>'Team Planner'!Print_Titles</vt:lpstr>
      <vt:lpstr>'Team Planner'!TitleRegion..BO60</vt:lpstr>
      <vt:lpstr>TitleRegion..BO60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subramanyam.shankar</dc:creator>
  <cp:lastModifiedBy>Siva Nomula</cp:lastModifiedBy>
  <dcterms:created xsi:type="dcterms:W3CDTF">2020-09-12T18:26:16Z</dcterms:created>
  <dcterms:modified xsi:type="dcterms:W3CDTF">2020-09-16T07:02:35Z</dcterms:modified>
</cp:coreProperties>
</file>